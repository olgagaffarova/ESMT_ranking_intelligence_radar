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010c7bea443494f" /></Relationships>
</file>

<file path=xl/workbook.xml><?xml version="1.0" encoding="utf-8"?>
<x:workbook xmlns:x="http://schemas.openxmlformats.org/spreadsheetml/2006/main">
  <x:sheets>
    <x:sheet xmlns:r="http://schemas.openxmlformats.org/officeDocument/2006/relationships" name="Dashboard" sheetId="1" r:id="R79317b46e20c4f1e"/>
    <x:sheet xmlns:r="http://schemas.openxmlformats.org/officeDocument/2006/relationships" name="Signals" sheetId="2" r:id="Rb0cf8c79225c4e2d"/>
    <x:sheet xmlns:r="http://schemas.openxmlformats.org/officeDocument/2006/relationships" name="Sources" sheetId="3" r:id="R8a1c74c664d94a2b"/>
    <x:sheet xmlns:r="http://schemas.openxmlformats.org/officeDocument/2006/relationships" name="Scoring Rules" sheetId="4" r:id="R5aaa0a78b90e4ba6"/>
    <x:sheet xmlns:r="http://schemas.openxmlformats.org/officeDocument/2006/relationships" name="QS Trends" sheetId="5" r:id="R7621ee0e8bd34536"/>
    <x:sheet xmlns:r="http://schemas.openxmlformats.org/officeDocument/2006/relationships" name="Communication QA" sheetId="6" r:id="Re84b61bbe1de439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0"/>
    <x:numFmt numFmtId="202" formatCode="0"/>
    <x:numFmt numFmtId="203" formatCode="0&quot;%&quot;"/>
    <x:numFmt numFmtId="204" formatCode="+0.0;-0.0;0.0"/>
  </x:numFmts>
  <x:fonts count="10">
    <x:font>
      <x:sz val="11"/>
      <x:name val="Carlito"/>
    </x:font>
    <x:font>
      <x:b/>
      <x:sz val="20"/>
      <x:color rgb="FFFFFFFF"/>
      <x:name val="Carlito"/>
    </x:font>
    <x:font>
      <x:i/>
      <x:sz val="11"/>
      <x:color rgb="FF667085"/>
      <x:name val="Carlito"/>
    </x:font>
    <x:font>
      <x:b/>
      <x:sz val="11"/>
      <x:color rgb="FFC47B13"/>
      <x:name val="Carlito"/>
    </x:font>
    <x:font>
      <x:b/>
      <x:sz val="11"/>
      <x:color rgb="FF667085"/>
      <x:name val="Carlito"/>
    </x:font>
    <x:font>
      <x:b/>
      <x:sz val="22"/>
      <x:color rgb="FF101723"/>
      <x:name val="Carlito"/>
    </x:font>
    <x:font>
      <x:b/>
      <x:sz val="11"/>
      <x:color rgb="FF101723"/>
      <x:name val="Carlito"/>
    </x:font>
    <x:font>
      <x:b/>
      <x:sz val="11"/>
      <x:color rgb="FFFFFFFF"/>
      <x:name val="Carlito"/>
    </x:font>
    <x:font>
      <x:b/>
      <x:sz val="11"/>
      <x:color rgb="FFBA3A3A"/>
      <x:name val="Carlito"/>
    </x:font>
    <x:font>
      <x:sz val="11"/>
      <x:color rgb="FF101723"/>
      <x:name val="Carlito"/>
    </x:font>
  </x:fonts>
  <x:fills count="8">
    <x:fill>
      <x:patternFill patternType="none"/>
    </x:fill>
    <x:fill>
      <x:patternFill patternType="gray125"/>
    </x:fill>
    <x:fill>
      <x:patternFill patternType="solid">
        <x:fgColor rgb="FF101723"/>
      </x:patternFill>
    </x:fill>
    <x:fill>
      <x:patternFill patternType="solid">
        <x:fgColor rgb="FFFFF4DF"/>
      </x:patternFill>
    </x:fill>
    <x:fill>
      <x:patternFill patternType="solid">
        <x:fgColor rgb="FFF3F5F8"/>
      </x:patternFill>
    </x:fill>
    <x:fill>
      <x:patternFill patternType="solid">
        <x:fgColor rgb="FFFFFFFF"/>
      </x:patternFill>
    </x:fill>
    <x:fill>
      <x:patternFill patternType="solid">
        <x:fgColor rgb="FFEAF0FF"/>
      </x:patternFill>
    </x:fill>
    <x:fill>
      <x:patternFill patternType="solid">
        <x:fgColor rgb="FFFDECEC"/>
      </x:patternFill>
    </x:fill>
  </x:fills>
  <x:borders count="10">
    <x:border/>
    <x:border>
      <x:left style="thin">
        <x:color rgb="FFD9E0E8"/>
      </x:left>
      <x:top style="thin">
        <x:color rgb="FFD9E0E8"/>
      </x:top>
    </x:border>
    <x:border>
      <x:right style="thin">
        <x:color rgb="FFD9E0E8"/>
      </x:right>
      <x:top style="thin">
        <x:color rgb="FFD9E0E8"/>
      </x:top>
    </x:border>
    <x:border>
      <x:left style="thin">
        <x:color rgb="FFD9E0E8"/>
      </x:left>
      <x:bottom style="thin">
        <x:color rgb="FFD9E0E8"/>
      </x:bottom>
    </x:border>
    <x:border>
      <x:right style="thin">
        <x:color rgb="FFD9E0E8"/>
      </x:right>
      <x:bottom style="thin">
        <x:color rgb="FFD9E0E8"/>
      </x:bottom>
    </x:border>
    <x:border>
      <x:bottom style="medium">
        <x:color rgb="FF165DFF"/>
      </x:bottom>
    </x:border>
    <x:border>
      <x:left style="thin">
        <x:color rgb="FFD9E0E8"/>
      </x:left>
    </x:border>
    <x:border>
      <x:right style="thin">
        <x:color rgb="FFD9E0E8"/>
      </x:right>
    </x:border>
    <x:border>
      <x:top style="thin">
        <x:color rgb="FFD9E0E8"/>
      </x:top>
    </x:border>
    <x:border>
      <x:bottom style="thin">
        <x:color rgb="FFD9E0E8"/>
      </x:bottom>
    </x:border>
  </x:borders>
  <x:cellStyleXfs count="1">
    <x:xf numFmtId="0" fontId="0" fillId="0" borderId="0"/>
  </x:cellStyleXfs>
  <x:cellXfs count="7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20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0" fillId="5" borderId="0"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1" xfId="0" applyNumberFormat="1" applyFont="1" applyFill="1" applyBorder="1" applyAlignment="1">
      <x:alignment horizontal="center"/>
    </x:xf>
    <x:xf numFmtId="0" fontId="5" fillId="5" borderId="2" xfId="0" applyNumberFormat="1" applyFont="1" applyFill="1" applyBorder="1" applyAlignment="1">
      <x:alignment horizontal="center"/>
    </x:xf>
    <x:xf numFmtId="0" fontId="5" fillId="5" borderId="3" xfId="0" applyNumberFormat="1" applyFont="1" applyFill="1" applyBorder="1" applyAlignment="1">
      <x:alignment horizontal="center"/>
    </x:xf>
    <x:xf numFmtId="0" fontId="5" fillId="5" borderId="4"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5" fillId="5" borderId="2" xfId="0" applyNumberFormat="1" applyFont="1" applyFill="1" applyBorder="1" applyAlignment="1">
      <x:alignment horizontal="center" vertical="center"/>
    </x:xf>
    <x:xf numFmtId="0" fontId="5" fillId="5" borderId="3" xfId="0" applyNumberFormat="1" applyFont="1" applyFill="1" applyBorder="1" applyAlignment="1">
      <x:alignment horizontal="center" vertical="center"/>
    </x:xf>
    <x:xf numFmtId="0" fontId="5" fillId="5" borderId="4"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5" xfId="0" applyNumberFormat="1" applyFont="1" applyFill="1" applyBorder="1"/>
    <x:xf numFmtId="0" fontId="6" fillId="6" borderId="5" xfId="0" applyNumberFormat="1" applyFont="1" applyFill="1" applyBorder="1" applyAlignment="1">
      <x:alignment vertical="center"/>
    </x:xf>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vertical="center" wrapText="1"/>
    </x:xf>
    <x:xf numFmtId="0" fontId="7" fillId="2" borderId="1" xfId="0" applyNumberFormat="1" applyFont="1" applyFill="1" applyBorder="1" applyAlignment="1">
      <x:alignment vertical="center" wrapText="1"/>
    </x:xf>
    <x:xf numFmtId="0" fontId="7" fillId="2" borderId="2" xfId="0" applyNumberFormat="1" applyFont="1" applyFill="1" applyBorder="1" applyAlignment="1">
      <x:alignment vertical="center" wrapText="1"/>
    </x:xf>
    <x:xf numFmtId="0" fontId="0" fillId="0" borderId="6" xfId="0" applyNumberFormat="1" applyFont="1" applyFill="1" applyBorder="1"/>
    <x:xf numFmtId="0" fontId="0" fillId="0" borderId="7"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7" fillId="2" borderId="8" xfId="0" applyNumberFormat="1" applyFont="1" applyFill="1" applyBorder="1" applyAlignment="1">
      <x:alignment vertical="center" wrapText="1"/>
    </x:xf>
    <x:xf numFmtId="0" fontId="0" fillId="0" borderId="0" xfId="0" applyNumberFormat="1" applyFont="1" applyFill="1" applyBorder="1"/>
    <x:xf numFmtId="0" fontId="0" fillId="0" borderId="9" xfId="0" applyNumberFormat="1" applyFont="1" applyFill="1" applyBorder="1"/>
    <x:xf numFmtId="0" fontId="0" fillId="0" borderId="6" xfId="0" applyNumberFormat="1" applyFont="1" applyFill="1" applyBorder="1" applyAlignment="1">
      <x:alignment vertical="top"/>
    </x:xf>
    <x:xf numFmtId="0" fontId="0" fillId="0" borderId="0"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9" xfId="0" applyNumberFormat="1" applyFont="1" applyFill="1" applyBorder="1" applyAlignment="1">
      <x:alignment vertical="top"/>
    </x:xf>
    <x:xf numFmtId="0" fontId="0" fillId="0" borderId="4"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201" fontId="0" fillId="0" borderId="0" xfId="0" applyNumberFormat="1" applyFont="1" applyFill="1" applyBorder="1"/>
    <x:xf numFmtId="202" fontId="0" fillId="0" borderId="0" xfId="0" applyNumberFormat="1" applyFont="1" applyFill="1" applyBorder="1"/>
    <x:xf numFmtId="0" fontId="7" fillId="2"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203" fontId="0" fillId="0"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wrapText="1"/>
    </x:xf>
    <x:xf numFmtId="0" fontId="9" fillId="6" borderId="0" xfId="0" applyNumberFormat="1" applyFont="1" applyFill="1" applyBorder="1" applyAlignment="1">
      <x:alignment vertical="center" wrapText="1"/>
    </x:xf>
    <x:xf numFmtId="203" fontId="0" fillId="0" borderId="9" xfId="0" applyNumberFormat="1" applyFont="1" applyFill="1" applyBorder="1"/>
    <x:xf numFmtId="204" fontId="0" fillId="0" borderId="0" xfId="0" applyNumberFormat="1" applyFont="1" applyFill="1" applyBorder="1"/>
  </x:cellXfs>
  <x:cellStyles count="1">
    <x:cellStyle name="Normal" xfId="0"/>
  </x:cellStyles>
  <x:dxfs count="3">
    <x:dxf>
      <x:font>
        <x:b/>
        <x:color rgb="FFBA3A3A"/>
      </x:font>
      <x:fill>
        <x:patternFill patternType="solid">
          <x:bgColor rgb="FFFDECEC"/>
        </x:patternFill>
      </x:fill>
    </x:dxf>
    <x:dxf>
      <x:font>
        <x:b/>
        <x:color rgb="FFBA3A3A"/>
      </x:font>
      <x:fill>
        <x:patternFill patternType="solid">
          <x:bgColor rgb="FFFDECEC"/>
        </x:patternFill>
      </x:fill>
    </x:dxf>
    <x:dxf>
      <x:font>
        <x:color rgb="FFC47B13"/>
      </x:font>
      <x:fill>
        <x:patternFill patternType="solid">
          <x:bgColor rgb="FFFFF4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ddaba513b740c7" /><Relationship Type="http://schemas.openxmlformats.org/officeDocument/2006/relationships/theme" Target="/xl/theme/theme1.xml" Id="Rf414f9e49e4b4536" /><Relationship Type="http://schemas.microsoft.com/office/2022/11/relationships/FeaturePropertyBag" Target="/xl/featurePropertyBag/featurePropertyBag.xml" Id="Rf05dd55691424fc6" /><Relationship Type="http://schemas.openxmlformats.org/officeDocument/2006/relationships/sharedStrings" Target="/xl/sharedStrings.xml" Id="R10391316aa6d44b8" /><Relationship Type="http://schemas.openxmlformats.org/officeDocument/2006/relationships/worksheet" Target="/xl/worksheets/sheet1.xml" Id="R79317b46e20c4f1e" /><Relationship Type="http://schemas.openxmlformats.org/officeDocument/2006/relationships/worksheet" Target="/xl/worksheets/sheet2.xml" Id="Rb0cf8c79225c4e2d" /><Relationship Type="http://schemas.openxmlformats.org/officeDocument/2006/relationships/worksheet" Target="/xl/worksheets/sheet3.xml" Id="R8a1c74c664d94a2b" /><Relationship Type="http://schemas.openxmlformats.org/officeDocument/2006/relationships/worksheet" Target="/xl/worksheets/sheet4.xml" Id="R5aaa0a78b90e4ba6" /><Relationship Type="http://schemas.openxmlformats.org/officeDocument/2006/relationships/worksheet" Target="/xl/worksheets/sheet5.xml" Id="R7621ee0e8bd34536" /><Relationship Type="http://schemas.openxmlformats.org/officeDocument/2006/relationships/worksheet" Target="/xl/worksheets/sheet6.xml" Id="Re84b61bbe1de4394" /></Relationships>
</file>

<file path=xl/drawings/_rels/drawing1.xml.rels>&#65279;<?xml version="1.0" encoding="utf-8"?><Relationships xmlns="http://schemas.openxmlformats.org/package/2006/relationships"><Relationship Type="http://schemas.openxmlformats.org/officeDocument/2006/relationships/chart" Target="/xl/drawings/charts/chart1.xml" Id="Rd2b993b3f19742f8" /></Relationships>
</file>

<file path=xl/drawings/_rels/drawing2.xml.rels>&#65279;<?xml version="1.0" encoding="utf-8"?><Relationships xmlns="http://schemas.openxmlformats.org/package/2006/relationships"><Relationship Type="http://schemas.openxmlformats.org/officeDocument/2006/relationships/chart" Target="/xl/drawings/charts/chart2.xml" Id="R097e1c9787c64c5c" /><Relationship Type="http://schemas.openxmlformats.org/officeDocument/2006/relationships/chart" Target="/xl/drawings/charts/chart3.xml" Id="Rb00d99e1ddda45b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Signals by priority band</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Signals</c:v>
          </c:tx>
          <c:cat>
            <c:strRef>
              <c:f>'Dashboard'!$A$14:$A$17</c:f>
              <c:strCache>
                <c:ptCount val="0"/>
              </c:strCache>
            </c:strRef>
          </c:cat>
          <c:val>
            <c:numRef>
              <c:f>'Dashboard'!$B$14:$B$17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MBA: largest decline is E&amp;A Outcomes</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2026 minus 2025</c:v>
          </c:tx>
          <c:cat>
            <c:strRef>
              <c:f>'QS Trends'!$A$14:$A$18</c:f>
              <c:strCache>
                <c:ptCount val="0"/>
              </c:strCache>
            </c:strRef>
          </c:cat>
          <c:val>
            <c:numRef>
              <c:f>'QS Trends'!$B$14:$B$18</c:f>
              <c:numCache>
                <c:formatCode>+0.0;-0.0;0.0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0;-0.0;0.0"/>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Management: Value for Money fell 4.6 points</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2026 minus 2025</c:v>
          </c:tx>
          <c:cat>
            <c:strRef>
              <c:f>'QS Trends'!$A$23:$A$27</c:f>
              <c:strCache>
                <c:ptCount val="0"/>
              </c:strCache>
            </c:strRef>
          </c:cat>
          <c:val>
            <c:numRef>
              <c:f>'QS Trends'!$B$23:$B$27</c:f>
              <c:numCache>
                <c:formatCode>+0.0;-0.0;0.0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0;-0.0;0.0"/>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11</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2b993b3f19742f8"/>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12</xdr:row>
      <xdr:rowOff>0</xdr:rowOff>
    </xdr:from>
    <xdr:to>
      <xdr:col>10</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97e1c9787c64c5c"/>
        </a:graphicData>
      </a:graphic>
    </xdr:graphicFrame>
    <xdr:clientData/>
  </xdr:twoCellAnchor>
  <xdr:twoCellAnchor>
    <xdr:from>
      <xdr:col>3</xdr:col>
      <xdr:colOff>0</xdr:colOff>
      <xdr:row>29</xdr:row>
      <xdr:rowOff>0</xdr:rowOff>
    </xdr:from>
    <xdr:to>
      <xdr:col>10</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0d99e1ddda45b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ignalRegisterTable" displayName="SignalRegisterTable" ref="A2:AB20" headerRowCount="1" totalsRowCount="0" totalsRowShown="0">
  <x:tableColumns count="28">
    <x:tableColumn id="1" name="Signal ID"/>
    <x:tableColumn id="2" name="Priority Score"/>
    <x:tableColumn id="3" name="Priority Band"/>
    <x:tableColumn id="4" name="Status"/>
    <x:tableColumn id="5" name="Signal Type"/>
    <x:tableColumn id="6" name="Title"/>
    <x:tableColumn id="7" name="Programme(s)"/>
    <x:tableColumn id="8" name="Ranking / Standard"/>
    <x:tableColumn id="9" name="Event Start"/>
    <x:tableColumn id="10" name="Event End"/>
    <x:tableColumn id="11" name="Date Precision"/>
    <x:tableColumn id="12" name="Official Timing"/>
    <x:tableColumn id="13" name="Verification"/>
    <x:tableColumn id="14" name="Verified Fact"/>
    <x:tableColumn id="15" name="ESMT Interpretation"/>
    <x:tableColumn id="16" name="Recommended Action"/>
    <x:tableColumn id="17" name="Proposed Owner"/>
    <x:tableColumn id="18" name="Internal Proposed Due"/>
    <x:tableColumn id="19" name="Source Count"/>
    <x:tableColumn id="20" name="Strategic Impact"/>
    <x:tableColumn id="21" name="Urgency"/>
    <x:tableColumn id="22" name="Actionability"/>
    <x:tableColumn id="23" name="ESMT Relevance"/>
    <x:tableColumn id="24" name="Evidence Confidence"/>
    <x:tableColumn id="25" name="Formula Score Check"/>
    <x:tableColumn id="26" name="Score QA"/>
    <x:tableColumn id="27" name="Source URLs"/>
    <x:tableColumn id="28" name="Independent Confirmations"/>
  </x:tableColumns>
  <x:tableStyleInfo name="TableStyleMedium2" showFirstColumn="0" showLastColumn="0" showRowStripes="1" showColumnStripes="0"/>
</x:table>
</file>

<file path=xl/tables/table2.xml><?xml version="1.0" encoding="utf-8"?>
<x:table xmlns:x="http://schemas.openxmlformats.org/spreadsheetml/2006/main" id="2" name="SourceRegistryTable" displayName="SourceRegistryTable" ref="A2:L25" headerRowCount="1" totalsRowCount="0" totalsRowShown="0">
  <x:tableColumns count="12">
    <x:tableColumn id="1" name="Source ID"/>
    <x:tableColumn id="2" name="Source"/>
    <x:tableColumn id="3" name="Publisher"/>
    <x:tableColumn id="4" name="Family"/>
    <x:tableColumn id="5" name="Evidence Type"/>
    <x:tableColumn id="6" name="Access Mode"/>
    <x:tableColumn id="7" name="Cadence"/>
    <x:tableColumn id="8" name="Authority (0-5)"/>
    <x:tableColumn id="9" name="Enabled"/>
    <x:tableColumn id="10" name="Last Checked"/>
    <x:tableColumn id="11" name="Canonical URL"/>
    <x:tableColumn id="12" name="Caveat"/>
  </x:tableColumns>
  <x:tableStyleInfo name="TableStyleMedium2" showFirstColumn="0" showLastColumn="0" showRowStripes="1" showColumnStripes="0"/>
</x:table>
</file>

<file path=xl/tables/table3.xml><?xml version="1.0" encoding="utf-8"?>
<x:table xmlns:x="http://schemas.openxmlformats.org/spreadsheetml/2006/main" id="3" name="QSEsmtTrendTable" displayName="QSEsmtTrendTable" ref="A5:L10" headerRowCount="1" totalsRowCount="0" totalsRowShown="0">
  <x:tableColumns count="12">
    <x:tableColumn id="1" name="Ranking"/>
    <x:tableColumn id="2" name="Edition"/>
    <x:tableColumn id="3" name="Rank"/>
    <x:tableColumn id="4" name="Overall"/>
    <x:tableColumn id="5" name="Employability"/>
    <x:tableColumn id="6" name="E&amp;A Outcomes"/>
    <x:tableColumn id="7" name="ROI"/>
    <x:tableColumn id="8" name="Thought Leadership"/>
    <x:tableColumn id="9" name="Diversity"/>
    <x:tableColumn id="10" name="Alumni Outcomes"/>
    <x:tableColumn id="11" name="Value for Money"/>
    <x:tableColumn id="12" name="Source File"/>
  </x:tableColumns>
  <x:tableStyleInfo name="TableStyleMedium2" showFirstColumn="0" showLastColumn="0" showRowStripes="1" showColumnStripes="0"/>
</x:table>
</file>

<file path=xl/tables/table4.xml><?xml version="1.0" encoding="utf-8"?>
<x:table xmlns:x="http://schemas.openxmlformats.org/spreadsheetml/2006/main" id="4" name="QSGermanPeersTable" displayName="QSGermanPeersTable" ref="A49:E59" headerRowCount="1" totalsRowCount="0" totalsRowShown="0">
  <x:tableColumns count="5">
    <x:tableColumn id="1" name="Ranking"/>
    <x:tableColumn id="2" name="Selected German peer"/>
    <x:tableColumn id="3" name="2025 rank"/>
    <x:tableColumn id="4" name="2026 rank"/>
    <x:tableColumn id="5" name="Rank change (+ worse)"/>
  </x:tableColumns>
  <x:tableStyleInfo name="TableStyleMedium2" showFirstColumn="0" showLastColumn="0" showRowStripes="1" showColumnStripes="0"/>
</x:table>
</file>

<file path=xl/tables/table5.xml><?xml version="1.0" encoding="utf-8"?>
<x:table xmlns:x="http://schemas.openxmlformats.org/spreadsheetml/2006/main" id="5" name="CommunicationQATable" displayName="CommunicationQATable" ref="A6:H8" headerRowCount="1" totalsRowCount="0" totalsRowShown="0">
  <x:tableColumns count="8">
    <x:tableColumn id="1" name="Score"/>
    <x:tableColumn id="2" name="Issue"/>
    <x:tableColumn id="3" name="Verified mismatch"/>
    <x:tableColumn id="4" name="Proposed correction"/>
    <x:tableColumn id="5" name="Owner"/>
    <x:tableColumn id="6" name="Due"/>
    <x:tableColumn id="7" name="Status"/>
    <x:tableColumn id="8" name="Evidence URL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1c21dbf30844cb8" /></Relationships>
</file>

<file path=xl/worksheets/_rels/sheet2.xml.rels>&#65279;<?xml version="1.0" encoding="utf-8"?><Relationships xmlns="http://schemas.openxmlformats.org/package/2006/relationships"><Relationship Type="http://schemas.openxmlformats.org/officeDocument/2006/relationships/table" Target="/xl/tables/table1.xml" Id="R3e88816d58584e30" /></Relationships>
</file>

<file path=xl/worksheets/_rels/sheet3.xml.rels>&#65279;<?xml version="1.0" encoding="utf-8"?><Relationships xmlns="http://schemas.openxmlformats.org/package/2006/relationships"><Relationship Type="http://schemas.openxmlformats.org/officeDocument/2006/relationships/table" Target="/xl/tables/table2.xml" Id="R5f50e518f1184217" /></Relationships>
</file>

<file path=xl/worksheets/_rels/sheet5.xml.rels>&#65279;<?xml version="1.0" encoding="utf-8"?><Relationships xmlns="http://schemas.openxmlformats.org/package/2006/relationships"><Relationship Type="http://schemas.openxmlformats.org/officeDocument/2006/relationships/drawing" Target="/xl/drawings/drawing2.xml" Id="R59c4382c905c4082" /><Relationship Type="http://schemas.openxmlformats.org/officeDocument/2006/relationships/table" Target="/xl/tables/table3.xml" Id="R02c4ff3d9baf4966" /><Relationship Type="http://schemas.openxmlformats.org/officeDocument/2006/relationships/table" Target="/xl/tables/table4.xml" Id="Rd311a7aad46a4cf9" /></Relationships>
</file>

<file path=xl/worksheets/_rels/sheet6.xml.rels>&#65279;<?xml version="1.0" encoding="utf-8"?><Relationships xmlns="http://schemas.openxmlformats.org/package/2006/relationships"><Relationship Type="http://schemas.openxmlformats.org/officeDocument/2006/relationships/table" Target="/xl/tables/table5.xml" Id="Reb2b7c3e7cd8436d"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34" hidden="0" customWidth="1"/>
    <x:col min="3" max="3" width="15" hidden="0" customWidth="1"/>
    <x:col min="4" max="4" width="22" hidden="0" customWidth="1"/>
    <x:col min="5" max="5" width="22" hidden="0" customWidth="1"/>
    <x:col min="6" max="6" width="16" hidden="0" customWidth="1"/>
    <x:col min="7" max="7" width="15" hidden="0" customWidth="1"/>
    <x:col min="8" max="8" width="15" hidden="0" customWidth="1"/>
    <x:col min="9" max="9" width="15" hidden="0" customWidth="1"/>
    <x:col min="10" max="10" width="15" hidden="0" customWidth="1"/>
    <x:col min="11" max="11" width="15" hidden="0" customWidth="1"/>
  </x:cols>
  <x:sheetData>
    <x:row r="1" ht="34" customHeight="1">
      <x:c r="A1" s="3" t="str">
        <x:v>ESMT Ranking Intelligence Radar — Audit Workbook</x:v>
      </x:c>
      <x:c r="B1" s="3" t="str">
        <x:v>ESMT Ranking Intelligence Radar — Audit Workbook</x:v>
      </x:c>
      <x:c r="C1" s="3" t="str">
        <x:v>ESMT Ranking Intelligence Radar — Audit Workbook</x:v>
      </x:c>
      <x:c r="D1" s="3" t="str">
        <x:v>ESMT Ranking Intelligence Radar — Audit Workbook</x:v>
      </x:c>
      <x:c r="E1" s="3" t="str">
        <x:v>ESMT Ranking Intelligence Radar — Audit Workbook</x:v>
      </x:c>
      <x:c r="F1" s="3" t="str">
        <x:v>ESMT Ranking Intelligence Radar — Audit Workbook</x:v>
      </x:c>
      <x:c r="G1" s="3" t="str">
        <x:v>ESMT Ranking Intelligence Radar — Audit Workbook</x:v>
      </x:c>
      <x:c r="H1" s="3" t="str">
        <x:v>ESMT Ranking Intelligence Radar — Audit Workbook</x:v>
      </x:c>
      <x:c r="I1" s="3" t="str">
        <x:v>ESMT Ranking Intelligence Radar — Audit Workbook</x:v>
      </x:c>
      <x:c r="J1" s="3" t="str">
        <x:v>ESMT Ranking Intelligence Radar — Audit Workbook</x:v>
      </x:c>
      <x:c r="K1" s="3" t="str">
        <x:v>ESMT Ranking Intelligence Radar — Audit Workbook</x:v>
      </x:c>
    </x:row>
    <x:row r="2" ht="34" customHeight="1">
      <x:c r="A2" s="3" t="str">
        <x:v>ESMT Ranking Intelligence Radar — Audit Workbook</x:v>
      </x:c>
      <x:c r="B2" s="3" t="str">
        <x:v>ESMT Ranking Intelligence Radar — Audit Workbook</x:v>
      </x:c>
      <x:c r="C2" s="3" t="str">
        <x:v>ESMT Ranking Intelligence Radar — Audit Workbook</x:v>
      </x:c>
      <x:c r="D2" s="3" t="str">
        <x:v>ESMT Ranking Intelligence Radar — Audit Workbook</x:v>
      </x:c>
      <x:c r="E2" s="3" t="str">
        <x:v>ESMT Ranking Intelligence Radar — Audit Workbook</x:v>
      </x:c>
      <x:c r="F2" s="3" t="str">
        <x:v>ESMT Ranking Intelligence Radar — Audit Workbook</x:v>
      </x:c>
      <x:c r="G2" s="3" t="str">
        <x:v>ESMT Ranking Intelligence Radar — Audit Workbook</x:v>
      </x:c>
      <x:c r="H2" s="3" t="str">
        <x:v>ESMT Ranking Intelligence Radar — Audit Workbook</x:v>
      </x:c>
      <x:c r="I2" s="3" t="str">
        <x:v>ESMT Ranking Intelligence Radar — Audit Workbook</x:v>
      </x:c>
      <x:c r="J2" s="3" t="str">
        <x:v>ESMT Ranking Intelligence Radar — Audit Workbook</x:v>
      </x:c>
      <x:c r="K2" s="3" t="str">
        <x:v>ESMT Ranking Intelligence Radar — Audit Workbook</x:v>
      </x:c>
    </x:row>
    <x:row r="3">
      <x:c r="A3" s="5" t="str">
        <x:v>Verified external signals, explicit judgement, and a transparent action queue. Prototype as-of 18 August 2026.</x:v>
      </x:c>
      <x:c r="B3" s="5"/>
      <x:c r="C3" s="5"/>
      <x:c r="D3" s="5"/>
      <x:c r="E3" s="5"/>
      <x:c r="F3" s="5"/>
      <x:c r="G3" s="5"/>
      <x:c r="H3" s="5"/>
      <x:c r="I3" s="5"/>
      <x:c r="J3" s="5"/>
      <x:c r="K3" s="5"/>
    </x:row>
    <x:row r="4">
      <x:c r="A4" t="str">
        <x:v>As-of date</x:v>
      </x:c>
      <x:c r="B4" s="6" t="n">
        <x:v>46252</x:v>
      </x:c>
      <x:c r="D4" s="9" t="str">
        <x:v>Management rule only — priority is not a rank forecast or an objective truth.</x:v>
      </x:c>
      <x:c r="E4" s="9"/>
      <x:c r="F4" s="9"/>
      <x:c r="G4" s="9"/>
      <x:c r="H4" s="9"/>
      <x:c r="I4" s="9"/>
      <x:c r="J4" s="9"/>
      <x:c r="K4" s="9"/>
    </x:row>
    <x:row r="6">
      <x:c r="A6" s="12" t="str">
        <x:v>Act now</x:v>
      </x:c>
      <x:c r="B6" s="12"/>
      <x:c r="D6" s="12" t="str">
        <x:v>Starts in 60 days</x:v>
      </x:c>
      <x:c r="E6" s="12"/>
      <x:c r="G6" s="12" t="str">
        <x:v>Communication QA</x:v>
      </x:c>
      <x:c r="H6" s="12"/>
      <x:c r="J6" s="12" t="str">
        <x:v>Private gaps</x:v>
      </x:c>
      <x:c r="K6" s="12"/>
    </x:row>
    <x:row r="7">
      <x:c r="A7" s="23" t="n">
        <x:f>COUNTIF(Signals!$C$3:$C$20,"Act now")</x:f>
        <x:v>13</x:v>
      </x:c>
      <x:c r="B7" s="24"/>
      <x:c r="D7" s="23" t="n">
        <x:f>COUNTIFS(Signals!$I$3:$I$20,"&gt;="&amp;$B$4,Signals!$I$3:$I$20,"&lt;="&amp;$B$4+60)</x:f>
        <x:v>8</x:v>
      </x:c>
      <x:c r="E7" s="24"/>
      <x:c r="G7" s="23" t="n">
        <x:f>COUNTIF(Signals!$E$3:$E$20,"communication_mismatch")</x:f>
        <x:v>2</x:v>
      </x:c>
      <x:c r="H7" s="24"/>
      <x:c r="J7" s="23" t="n">
        <x:f>COUNTIF(Sources!$F$3:$F$25,"manual_private")</x:f>
        <x:v>3</x:v>
      </x:c>
      <x:c r="K7" s="24"/>
    </x:row>
    <x:row r="8">
      <x:c r="A8" s="25"/>
      <x:c r="B8" s="26"/>
      <x:c r="D8" s="25"/>
      <x:c r="E8" s="26"/>
      <x:c r="G8" s="25"/>
      <x:c r="H8" s="26"/>
      <x:c r="J8" s="25"/>
      <x:c r="K8" s="26"/>
    </x:row>
    <x:row r="11">
      <x:c r="A11" s="30" t="str">
        <x:v>Priority distribution</x:v>
      </x:c>
      <x:c r="B11" s="30"/>
    </x:row>
    <x:row r="13" ht="30" customHeight="1">
      <x:c r="A13" s="34" t="str">
        <x:v>Priority band</x:v>
      </x:c>
      <x:c r="B13" s="35" t="str">
        <x:v>Signals</x:v>
      </x:c>
    </x:row>
    <x:row r="14">
      <x:c r="A14" s="36" t="str">
        <x:v>Act now</x:v>
      </x:c>
      <x:c r="B14" s="37" t="n">
        <x:f>COUNTIF(Signals!$C$3:$C$20,A14)</x:f>
        <x:v>13</x:v>
      </x:c>
    </x:row>
    <x:row r="15">
      <x:c r="A15" s="36" t="str">
        <x:v>Plan</x:v>
      </x:c>
      <x:c r="B15" s="37" t="n">
        <x:f>COUNTIF(Signals!$C$3:$C$20,A15)</x:f>
        <x:v>5</x:v>
      </x:c>
    </x:row>
    <x:row r="16">
      <x:c r="A16" s="36" t="str">
        <x:v>Monitor</x:v>
      </x:c>
      <x:c r="B16" s="37" t="n">
        <x:f>COUNTIF(Signals!$C$3:$C$20,A16)</x:f>
        <x:v>0</x:v>
      </x:c>
    </x:row>
    <x:row r="17">
      <x:c r="A17" s="38" t="str">
        <x:v>Archive</x:v>
      </x:c>
      <x:c r="B17" s="39" t="n">
        <x:f>COUNTIF(Signals!$C$3:$C$20,A17)</x:f>
        <x:v>0</x:v>
      </x:c>
    </x:row>
    <x:row r="29">
      <x:c r="A29" s="30" t="str">
        <x:v>Highest-priority records</x:v>
      </x:c>
      <x:c r="B29" s="30"/>
      <x:c r="C29" s="30"/>
      <x:c r="D29" s="30"/>
      <x:c r="E29" s="30"/>
      <x:c r="F29" s="30"/>
      <x:c r="G29" s="30"/>
      <x:c r="H29" s="30"/>
      <x:c r="I29" s="30"/>
      <x:c r="J29" s="30"/>
      <x:c r="K29" s="30"/>
    </x:row>
    <x:row r="31" ht="30" customHeight="1">
      <x:c r="A31" s="34" t="str">
        <x:v>Score</x:v>
      </x:c>
      <x:c r="B31" s="40" t="str">
        <x:v>Signal</x:v>
      </x:c>
      <x:c r="C31" s="40" t="str">
        <x:v>Type</x:v>
      </x:c>
      <x:c r="D31" s="40" t="str">
        <x:v>Official timing</x:v>
      </x:c>
      <x:c r="E31" s="40" t="str">
        <x:v>Owner (proposed)</x:v>
      </x:c>
      <x:c r="F31" s="35" t="str">
        <x:v>Status</x:v>
      </x:c>
    </x:row>
    <x:row r="32" ht="48" customHeight="1">
      <x:c r="A32" s="43" t="n">
        <x:f>Signals!B3</x:f>
        <x:v>95</x:v>
      </x:c>
      <x:c r="B32" s="49" t="str">
        <x:f>Signals!F3</x:f>
        <x:v>AACSB ratified new 2026 Global Standards</x:v>
      </x:c>
      <x:c r="C32" s="44" t="str">
        <x:f>Signals!E3</x:f>
        <x:v>accreditation_standard</x:v>
      </x:c>
      <x:c r="D32" s="49" t="str">
        <x:f>Signals!L3</x:f>
        <x:v>20 April 2026</x:v>
      </x:c>
      <x:c r="E32" s="49" t="str">
        <x:f>Signals!Q3</x:f>
        <x:v>Accreditation Lead + Ranking Manager</x:v>
      </x:c>
      <x:c r="F32" s="51" t="str">
        <x:f>Signals!D3</x:f>
        <x:v>In review</x:v>
      </x:c>
    </x:row>
    <x:row r="33" ht="48" customHeight="1">
      <x:c r="A33" s="43" t="n">
        <x:f>Signals!B4</x:f>
        <x:v>92</x:v>
      </x:c>
      <x:c r="B33" s="49" t="str">
        <x:f>Signals!F4</x:f>
        <x:v>FT revised the FT50 journal list used in research metrics</x:v>
      </x:c>
      <x:c r="C33" s="44" t="str">
        <x:f>Signals!E4</x:f>
        <x:v>methodology_change</x:v>
      </x:c>
      <x:c r="D33" s="49" t="str">
        <x:f>Signals!L4</x:f>
        <x:v>29 April 2026</x:v>
      </x:c>
      <x:c r="E33" s="49" t="str">
        <x:f>Signals!Q4</x:f>
        <x:v>Ranking Manager + Research Office</x:v>
      </x:c>
      <x:c r="F33" s="51" t="str">
        <x:f>Signals!D4</x:f>
        <x:v>In review</x:v>
      </x:c>
    </x:row>
    <x:row r="34" ht="48" customHeight="1">
      <x:c r="A34" s="43" t="n">
        <x:f>Signals!B5</x:f>
        <x:v>83</x:v>
      </x:c>
      <x:c r="B34" s="49" t="str">
        <x:f>Signals!F5</x:f>
        <x:v>ESMT's central page labels the FT Executive MBA rank 42 with the wrong cycle</x:v>
      </x:c>
      <x:c r="C34" s="44" t="str">
        <x:f>Signals!E5</x:f>
        <x:v>communication_mismatch</x:v>
      </x:c>
      <x:c r="D34" s="49" t="str">
        <x:f>Signals!L5</x:f>
        <x:v>Observed on 18 August 2026</x:v>
      </x:c>
      <x:c r="E34" s="49" t="str">
        <x:f>Signals!Q5</x:f>
        <x:v>Communications + Ranking Manager</x:v>
      </x:c>
      <x:c r="F34" s="51" t="str">
        <x:f>Signals!D5</x:f>
        <x:v>New</x:v>
      </x:c>
    </x:row>
    <x:row r="35" ht="48" customHeight="1">
      <x:c r="A35" s="43" t="n">
        <x:f>Signals!B6</x:f>
        <x:v>83</x:v>
      </x:c>
      <x:c r="B35" s="49" t="str">
        <x:f>Signals!F6</x:f>
        <x:v>ESMT pages attach different years to the same Full-time MBA rank</x:v>
      </x:c>
      <x:c r="C35" s="44" t="str">
        <x:f>Signals!E6</x:f>
        <x:v>communication_mismatch</x:v>
      </x:c>
      <x:c r="D35" s="49" t="str">
        <x:f>Signals!L6</x:f>
        <x:v>Observed on 18 August 2026</x:v>
      </x:c>
      <x:c r="E35" s="49" t="str">
        <x:f>Signals!Q6</x:f>
        <x:v>Communications + Ranking Manager</x:v>
      </x:c>
      <x:c r="F35" s="51" t="str">
        <x:f>Signals!D6</x:f>
        <x:v>New</x:v>
      </x:c>
    </x:row>
    <x:row r="36" ht="48" customHeight="1">
      <x:c r="A36" s="43" t="n">
        <x:f>Signals!B7</x:f>
        <x:v>82</x:v>
      </x:c>
      <x:c r="B36" s="49" t="str">
        <x:f>Signals!F7</x:f>
        <x:v>QS plans the next Global MBA publication for September 2026</x:v>
      </x:c>
      <x:c r="C36" s="44" t="str">
        <x:f>Signals!E7</x:f>
        <x:v>publication_window</x:v>
      </x:c>
      <x:c r="D36" s="49" t="str">
        <x:f>Signals!L7</x:f>
        <x:v>September 2026</x:v>
      </x:c>
      <x:c r="E36" s="49" t="str">
        <x:f>Signals!Q7</x:f>
        <x:v>Ranking Manager + MBA Team + Communications</x:v>
      </x:c>
      <x:c r="F36" s="51" t="str">
        <x:f>Signals!D7</x:f>
        <x:v>New</x:v>
      </x:c>
    </x:row>
    <x:row r="37" ht="48" customHeight="1">
      <x:c r="A37" s="43" t="n">
        <x:f>Signals!B8</x:f>
        <x:v>82</x:v>
      </x:c>
      <x:c r="B37" s="49" t="str">
        <x:f>Signals!F8</x:f>
        <x:v>QS plans the next Business Masters publication for September 2026</x:v>
      </x:c>
      <x:c r="C37" s="44" t="str">
        <x:f>Signals!E8</x:f>
        <x:v>publication_window</x:v>
      </x:c>
      <x:c r="D37" s="49" t="str">
        <x:f>Signals!L8</x:f>
        <x:v>September 2026</x:v>
      </x:c>
      <x:c r="E37" s="49" t="str">
        <x:f>Signals!Q8</x:f>
        <x:v>Ranking Manager + Masters Team + Communications</x:v>
      </x:c>
      <x:c r="F37" s="51" t="str">
        <x:f>Signals!D8</x:f>
        <x:v>New</x:v>
      </x:c>
    </x:row>
    <x:row r="38" ht="48" customHeight="1">
      <x:c r="A38" s="43" t="n">
        <x:f>Signals!B9</x:f>
        <x:v>81</x:v>
      </x:c>
      <x:c r="B38" s="49" t="str">
        <x:f>Signals!F9</x:f>
        <x:v>QS Executive MBA 2027 data collection is expected from October to mid-January</x:v>
      </x:c>
      <x:c r="C38" s="44" t="str">
        <x:f>Signals!E9</x:f>
        <x:v>submission_window</x:v>
      </x:c>
      <x:c r="D38" s="49" t="str">
        <x:f>Signals!L9</x:f>
        <x:v>October 2026 to mid-January 2027</x:v>
      </x:c>
      <x:c r="E38" s="49" t="str">
        <x:f>Signals!Q9</x:f>
        <x:v>Ranking Manager + Executive MBA Team</x:v>
      </x:c>
      <x:c r="F38" s="51" t="str">
        <x:f>Signals!D9</x:f>
        <x:v>New</x:v>
      </x:c>
    </x:row>
    <x:row r="39" ht="48" customHeight="1">
      <x:c r="A39" s="46" t="n">
        <x:f>Signals!B10</x:f>
        <x:v>81</x:v>
      </x:c>
      <x:c r="B39" s="50" t="str">
        <x:f>Signals!F10</x:f>
        <x:v>QS Online MBA 2027 data collection is expected from October to mid-January</x:v>
      </x:c>
      <x:c r="C39" s="47" t="str">
        <x:f>Signals!E10</x:f>
        <x:v>submission_window</x:v>
      </x:c>
      <x:c r="D39" s="50" t="str">
        <x:f>Signals!L10</x:f>
        <x:v>October 2026 to mid-January 2027</x:v>
      </x:c>
      <x:c r="E39" s="50" t="str">
        <x:f>Signals!Q10</x:f>
        <x:v>Ranking Manager + Part-time MBA Team</x:v>
      </x:c>
      <x:c r="F39" s="52" t="str">
        <x:f>Signals!D10</x:f>
        <x:v>New</x:v>
      </x:c>
    </x:row>
    <x:row r="42">
      <x:c r="A42" s="56" t="str">
        <x:v>Coverage limitation: FT participant communications, QS MoveIN, and ESMT internal data/evidence systems are represented but deliberately not connected. Public monitoring cannot replace authorised portal checks or submission governance.</x:v>
      </x:c>
      <x:c r="B42" s="56"/>
      <x:c r="C42" s="56"/>
      <x:c r="D42" s="56"/>
      <x:c r="E42" s="56"/>
      <x:c r="F42" s="56"/>
      <x:c r="G42" s="56"/>
      <x:c r="H42" s="56"/>
      <x:c r="I42" s="56"/>
      <x:c r="J42" s="56"/>
      <x:c r="K42" s="56"/>
    </x:row>
    <x:row r="43">
      <x:c r="A43" s="56"/>
      <x:c r="B43" s="56"/>
      <x:c r="C43" s="56"/>
      <x:c r="D43" s="56"/>
      <x:c r="E43" s="56"/>
      <x:c r="F43" s="56"/>
      <x:c r="G43" s="56"/>
      <x:c r="H43" s="56"/>
      <x:c r="I43" s="56"/>
      <x:c r="J43" s="56"/>
      <x:c r="K43" s="56"/>
    </x:row>
    <x:row r="44">
      <x:c r="A44" s="56"/>
      <x:c r="B44" s="56"/>
      <x:c r="C44" s="56"/>
      <x:c r="D44" s="56"/>
      <x:c r="E44" s="56"/>
      <x:c r="F44" s="56"/>
      <x:c r="G44" s="56"/>
      <x:c r="H44" s="56"/>
      <x:c r="I44" s="56"/>
      <x:c r="J44" s="56"/>
      <x:c r="K44" s="56"/>
    </x:row>
  </x:sheetData>
  <x:mergeCells>
    <x:mergeCell ref="A1:K2"/>
    <x:mergeCell ref="A3:K3"/>
    <x:mergeCell ref="D4:K4"/>
    <x:mergeCell ref="A6:B6"/>
    <x:mergeCell ref="A7:B8"/>
    <x:mergeCell ref="D6:E6"/>
    <x:mergeCell ref="D7:E8"/>
    <x:mergeCell ref="G6:H6"/>
    <x:mergeCell ref="G7:H8"/>
    <x:mergeCell ref="J6:K6"/>
    <x:mergeCell ref="J7:K8"/>
    <x:mergeCell ref="A11:B11"/>
    <x:mergeCell ref="A29:K29"/>
    <x:mergeCell ref="A42:K44"/>
  </x:mergeCells>
  <x:pageMargins left="0.7" right="0.7" top="0.75" bottom="0.75" header="0.3" footer="0.3"/>
  <x:drawing xmlns:r="http://schemas.openxmlformats.org/officeDocument/2006/relationships" r:id="R61c21dbf30844cb8"/>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42" hidden="0" customWidth="1"/>
    <x:col min="7" max="7" width="24" hidden="0" customWidth="1"/>
    <x:col min="8" max="8" width="24" hidden="0" customWidth="1"/>
    <x:col min="9" max="9" width="12" hidden="0" customWidth="1"/>
    <x:col min="10" max="10" width="12" hidden="0" customWidth="1"/>
    <x:col min="11" max="11" width="23" hidden="0" customWidth="1"/>
    <x:col min="12" max="12" width="23" hidden="0" customWidth="1"/>
    <x:col min="13" max="13" width="23" hidden="0" customWidth="1"/>
    <x:col min="14" max="14" width="52" hidden="0" customWidth="1"/>
    <x:col min="15" max="15" width="52" hidden="0" customWidth="1"/>
    <x:col min="16" max="16" width="52" hidden="0" customWidth="1"/>
    <x:col min="17" max="17" width="30"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48" hidden="0" customWidth="1"/>
    <x:col min="28" max="28" width="14" hidden="0" customWidth="1"/>
  </x:cols>
  <x:sheetData>
    <x:row r="1" ht="34" customHeight="1">
      <x:c r="A1" s="3" t="str">
        <x:v>Signal Register</x:v>
      </x:c>
      <x:c r="B1" s="3" t="str">
        <x:v>Signal Register</x:v>
      </x:c>
      <x:c r="C1" s="3" t="str">
        <x:v>Signal Register</x:v>
      </x:c>
      <x:c r="D1" s="3" t="str">
        <x:v>Signal Register</x:v>
      </x:c>
      <x:c r="E1" s="3" t="str">
        <x:v>Signal Register</x:v>
      </x:c>
      <x:c r="F1" s="3" t="str">
        <x:v>Signal Register</x:v>
      </x:c>
      <x:c r="G1" s="3" t="str">
        <x:v>Signal Register</x:v>
      </x:c>
      <x:c r="H1" s="3" t="str">
        <x:v>Signal Register</x:v>
      </x:c>
      <x:c r="I1" s="3" t="str">
        <x:v>Signal Register</x:v>
      </x:c>
      <x:c r="J1" s="3" t="str">
        <x:v>Signal Register</x:v>
      </x:c>
      <x:c r="K1" s="3" t="str">
        <x:v>Signal Register</x:v>
      </x:c>
      <x:c r="L1" s="3" t="str">
        <x:v>Signal Register</x:v>
      </x:c>
      <x:c r="M1" s="3" t="str">
        <x:v>Signal Register</x:v>
      </x:c>
      <x:c r="N1" s="3" t="str">
        <x:v>Signal Register</x:v>
      </x:c>
      <x:c r="O1" s="3" t="str">
        <x:v>Signal Register</x:v>
      </x:c>
      <x:c r="P1" s="3" t="str">
        <x:v>Signal Register</x:v>
      </x:c>
      <x:c r="Q1" s="3" t="str">
        <x:v>Signal Register</x:v>
      </x:c>
      <x:c r="R1" s="3" t="str">
        <x:v>Signal Register</x:v>
      </x:c>
      <x:c r="S1" s="3" t="str">
        <x:v>Signal Register</x:v>
      </x:c>
      <x:c r="T1" s="3" t="str">
        <x:v>Signal Register</x:v>
      </x:c>
      <x:c r="U1" s="3" t="str">
        <x:v>Signal Register</x:v>
      </x:c>
      <x:c r="V1" s="3" t="str">
        <x:v>Signal Register</x:v>
      </x:c>
      <x:c r="W1" s="3" t="str">
        <x:v>Signal Register</x:v>
      </x:c>
      <x:c r="X1" s="3" t="str">
        <x:v>Signal Register</x:v>
      </x:c>
      <x:c r="Y1" s="3" t="str">
        <x:v>Signal Register</x:v>
      </x:c>
      <x:c r="Z1" s="3" t="str">
        <x:v>Signal Register</x:v>
      </x:c>
      <x:c r="AA1" s="3" t="str">
        <x:v>Signal Register</x:v>
      </x:c>
      <x:c r="AB1" s="3" t="str">
        <x:v>Signal Register</x:v>
      </x:c>
    </x:row>
    <x:row r="2" ht="30" customHeight="1">
      <x:c r="A2" s="59" t="str">
        <x:v>Signal ID</x:v>
      </x:c>
      <x:c r="B2" s="59" t="str">
        <x:v>Priority Score</x:v>
      </x:c>
      <x:c r="C2" s="59" t="str">
        <x:v>Priority Band</x:v>
      </x:c>
      <x:c r="D2" s="59" t="str">
        <x:v>Status</x:v>
      </x:c>
      <x:c r="E2" s="59" t="str">
        <x:v>Signal Type</x:v>
      </x:c>
      <x:c r="F2" s="59" t="str">
        <x:v>Title</x:v>
      </x:c>
      <x:c r="G2" s="59" t="str">
        <x:v>Programme(s)</x:v>
      </x:c>
      <x:c r="H2" s="59" t="str">
        <x:v>Ranking / Standard</x:v>
      </x:c>
      <x:c r="I2" s="59" t="str">
        <x:v>Event Start</x:v>
      </x:c>
      <x:c r="J2" s="59" t="str">
        <x:v>Event End</x:v>
      </x:c>
      <x:c r="K2" s="59" t="str">
        <x:v>Date Precision</x:v>
      </x:c>
      <x:c r="L2" s="59" t="str">
        <x:v>Official Timing</x:v>
      </x:c>
      <x:c r="M2" s="59" t="str">
        <x:v>Verification</x:v>
      </x:c>
      <x:c r="N2" s="59" t="str">
        <x:v>Verified Fact</x:v>
      </x:c>
      <x:c r="O2" s="59" t="str">
        <x:v>ESMT Interpretation</x:v>
      </x:c>
      <x:c r="P2" s="59" t="str">
        <x:v>Recommended Action</x:v>
      </x:c>
      <x:c r="Q2" s="59" t="str">
        <x:v>Proposed Owner</x:v>
      </x:c>
      <x:c r="R2" s="59" t="str">
        <x:v>Internal Proposed Due</x:v>
      </x:c>
      <x:c r="S2" s="59" t="str">
        <x:v>Source Count</x:v>
      </x:c>
      <x:c r="T2" s="59" t="str">
        <x:v>Strategic Impact</x:v>
      </x:c>
      <x:c r="U2" s="59" t="str">
        <x:v>Urgency</x:v>
      </x:c>
      <x:c r="V2" s="59" t="str">
        <x:v>Actionability</x:v>
      </x:c>
      <x:c r="W2" s="59" t="str">
        <x:v>ESMT Relevance</x:v>
      </x:c>
      <x:c r="X2" s="59" t="str">
        <x:v>Evidence Confidence</x:v>
      </x:c>
      <x:c r="Y2" s="59" t="str">
        <x:v>Formula Score Check</x:v>
      </x:c>
      <x:c r="Z2" s="59" t="str">
        <x:v>Score QA</x:v>
      </x:c>
      <x:c r="AA2" s="59" t="str">
        <x:v>Source URLs</x:v>
      </x:c>
      <x:c r="AB2" s="59" t="str">
        <x:v>Independent Confirmations</x:v>
      </x:c>
    </x:row>
    <x:row r="3" ht="66" customHeight="1">
      <x:c r="A3" s="44" t="str">
        <x:v>sig_aacsb_2026_standards</x:v>
      </x:c>
      <x:c r="B3" s="60" t="n">
        <x:v>95</x:v>
      </x:c>
      <x:c r="C3" s="44" t="str">
        <x:v>Act now</x:v>
      </x:c>
      <x:c r="D3" s="44" t="str">
        <x:v>In review</x:v>
      </x:c>
      <x:c r="E3" s="44" t="str">
        <x:v>accreditation_standard</x:v>
      </x:c>
      <x:c r="F3" s="49" t="str">
        <x:v>AACSB ratified new 2026 Global Standards</x:v>
      </x:c>
      <x:c r="G3" s="49" t="str">
        <x:v>Institution-wide</x:v>
      </x:c>
      <x:c r="H3" s="49" t="str">
        <x:v>AACSB 2026 Global Standards</x:v>
      </x:c>
      <x:c r="I3" s="63" t="n">
        <x:v>46132</x:v>
      </x:c>
      <x:c r="J3" s="63" t="n">
        <x:v>46132</x:v>
      </x:c>
      <x:c r="K3" s="49" t="str">
        <x:v>exact</x:v>
      </x:c>
      <x:c r="L3" s="49" t="str">
        <x:v>20 April 2026</x:v>
      </x:c>
      <x:c r="M3" s="49" t="str">
        <x:v>verified</x:v>
      </x:c>
      <x:c r="N3" s="49" t="str">
        <x:v>AACSB announced ratification of its 2026 Global Standards and describes the framework as principles- and outcomes-focused.</x:v>
      </x:c>
      <x:c r="O3" s="49" t="str">
        <x:v>This is institution-wide accreditation governance, not a ranking-news item. The practical exposure depends on transition rules and ESMT's review cycle, which are not established in this public seed signal.</x:v>
      </x:c>
      <x:c r="P3" s="49" t="str">
        <x:v>Run a controlled gap assessment against the final standards and transition guidance; map each requirement to an evidence owner and existing assurance process.</x:v>
      </x:c>
      <x:c r="Q3" s="49" t="str">
        <x:v>Accreditation Lead + Ranking Manager</x:v>
      </x:c>
      <x:c r="R3" s="63" t="n">
        <x:v>46295</x:v>
      </x:c>
      <x:c r="S3" s="44" t="n">
        <x:v>2</x:v>
      </x:c>
      <x:c r="T3" s="62" t="n">
        <x:v>5</x:v>
      </x:c>
      <x:c r="U3" s="62" t="n">
        <x:v>4</x:v>
      </x:c>
      <x:c r="V3" s="62" t="n">
        <x:v>5</x:v>
      </x:c>
      <x:c r="W3" s="62" t="n">
        <x:v>5</x:v>
      </x:c>
      <x:c r="X3" s="62" t="n">
        <x:v>5</x:v>
      </x:c>
      <x:c r="Y3" s="44" t="n">
        <x:f>ROUND((T3*'Scoring Rules'!$B$7+U3*'Scoring Rules'!$B$8+V3*'Scoring Rules'!$B$9+W3*'Scoring Rules'!$B$10+X3*'Scoring Rules'!$B$11)/5,1)</x:f>
        <x:v>95</x:v>
      </x:c>
      <x:c r="Z3" s="44" t="str">
        <x:f>IF(ABS(B3-Y3)&lt;0.01,"OK","CHECK")</x:f>
        <x:v>OK</x:v>
      </x:c>
      <x:c r="AA3" s="49" t="str">
        <x:v>https://www.aacsb.edu/media-center/news/2026/04/global-standards-ratification | https://www.aacsb.edu/educators/global-standards</x:v>
      </x:c>
      <x:c r="AB3" s="44" t="n">
        <x:v>1</x:v>
      </x:c>
    </x:row>
    <x:row r="4" ht="66" customHeight="1">
      <x:c r="A4" s="44" t="str">
        <x:v>sig_ft50_2026_change</x:v>
      </x:c>
      <x:c r="B4" s="60" t="n">
        <x:v>92</x:v>
      </x:c>
      <x:c r="C4" s="44" t="str">
        <x:v>Act now</x:v>
      </x:c>
      <x:c r="D4" s="44" t="str">
        <x:v>In review</x:v>
      </x:c>
      <x:c r="E4" s="44" t="str">
        <x:v>methodology_change</x:v>
      </x:c>
      <x:c r="F4" s="49" t="str">
        <x:v>FT revised the FT50 journal list used in research metrics</x:v>
      </x:c>
      <x:c r="G4" s="49" t="str">
        <x:v>Full-time MBA; Executive MBA; Part-time Blended MBA; Institution-wide research</x:v>
      </x:c>
      <x:c r="H4" s="49" t="str">
        <x:v>Financial Times research rank / FT50</x:v>
      </x:c>
      <x:c r="I4" s="63" t="n">
        <x:v>46141</x:v>
      </x:c>
      <x:c r="J4" s="63" t="n">
        <x:v>46141</x:v>
      </x:c>
      <x:c r="K4" s="49" t="str">
        <x:v>exact</x:v>
      </x:c>
      <x:c r="L4" s="49" t="str">
        <x:v>29 April 2026</x:v>
      </x:c>
      <x:c r="M4" s="49" t="str">
        <x:v>verified</x:v>
      </x:c>
      <x:c r="N4" s="49" t="str">
        <x:v>FT added Academy of Management Annals, American Sociological Review, and Psychological Science to the FT50, and removed Human Relations, Journal of Business Ethics, and Organization Studies. FT says the revised list is used for research measures in its Global MBA, EMBA, and Online MBA rankings.</x:v>
      </x:c>
      <x:c r="O4" s="49" t="str">
        <x:v>Historical and forecast research counts may change even without a change in faculty output. This can affect cross-year comparability and scenario models.</x:v>
      </x:c>
      <x:c r="P4" s="49" t="str">
        <x:v>Remap ESMT publications and peer benchmarks to the revised list, quantify the delta, and version the journal-list logic used in forecasts.</x:v>
      </x:c>
      <x:c r="Q4" s="49" t="str">
        <x:v>Ranking Manager + Research Office</x:v>
      </x:c>
      <x:c r="R4" s="63" t="n">
        <x:v>46280</x:v>
      </x:c>
      <x:c r="S4" s="44" t="n">
        <x:v>2</x:v>
      </x:c>
      <x:c r="T4" s="62" t="n">
        <x:v>5</x:v>
      </x:c>
      <x:c r="U4" s="62" t="n">
        <x:v>4</x:v>
      </x:c>
      <x:c r="V4" s="62" t="n">
        <x:v>5</x:v>
      </x:c>
      <x:c r="W4" s="62" t="n">
        <x:v>4</x:v>
      </x:c>
      <x:c r="X4" s="62" t="n">
        <x:v>5</x:v>
      </x:c>
      <x:c r="Y4" s="44" t="n">
        <x:f>ROUND((T4*'Scoring Rules'!$B$7+U4*'Scoring Rules'!$B$8+V4*'Scoring Rules'!$B$9+W4*'Scoring Rules'!$B$10+X4*'Scoring Rules'!$B$11)/5,1)</x:f>
        <x:v>92</x:v>
      </x:c>
      <x:c r="Z4" s="44" t="str">
        <x:f>IF(ABS(B4-Y4)&lt;0.01,"OK","CHECK")</x:f>
        <x:v>OK</x:v>
      </x:c>
      <x:c r="AA4" s="49" t="str">
        <x:v>https://www.ft.com/content/db863a0a-6524-45f9-bc52-fee997634bdc | https://rankings.ft.com/methodology</x:v>
      </x:c>
      <x:c r="AB4" s="44" t="n">
        <x:v>1</x:v>
      </x:c>
    </x:row>
    <x:row r="5" ht="66" customHeight="1">
      <x:c r="A5" s="44" t="str">
        <x:v>sig_esmt_emba_year_mismatch</x:v>
      </x:c>
      <x:c r="B5" s="60" t="n">
        <x:v>83</x:v>
      </x:c>
      <x:c r="C5" s="44" t="str">
        <x:v>Act now</x:v>
      </x:c>
      <x:c r="D5" s="44" t="str">
        <x:v>New</x:v>
      </x:c>
      <x:c r="E5" s="44" t="str">
        <x:v>communication_mismatch</x:v>
      </x:c>
      <x:c r="F5" s="49" t="str">
        <x:v>ESMT's central page labels the FT Executive MBA rank 42 with the wrong cycle</x:v>
      </x:c>
      <x:c r="G5" s="49" t="str">
        <x:v>Executive MBA</x:v>
      </x:c>
      <x:c r="H5" s="49" t="str">
        <x:v>Financial Times Executive MBA</x:v>
      </x:c>
      <x:c r="I5" s="63" t="n">
        <x:v>46252</x:v>
      </x:c>
      <x:c r="J5" s="63" t="n">
        <x:v>46252</x:v>
      </x:c>
      <x:c r="K5" s="49" t="str">
        <x:v>observation_date</x:v>
      </x:c>
      <x:c r="L5" s="49" t="str">
        <x:v>Observed on 18 August 2026</x:v>
      </x:c>
      <x:c r="M5" s="49" t="str">
        <x:v>verified_cross_page_mismatch</x:v>
      </x:c>
      <x:c r="N5" s="49" t="str">
        <x:v>ESMT's central accreditation-and-rankings page labels Executive MBA rank 42 as 2026, while the FT result page identifies rank 42 as the 2025 Executive MBA result published in October 2025.</x:v>
      </x:c>
      <x:c r="O5" s="49" t="str">
        <x:v>The page presents a future-cycle label for an existing result. The defect is easy to correct and should be resolved before the planned October 2026 release.</x:v>
      </x:c>
      <x:c r="P5" s="49" t="str">
        <x:v>Correct the cycle to 2025, verify all displayed ranking years against publisher result pages, and add a two-person approval check for future updates.</x:v>
      </x:c>
      <x:c r="Q5" s="49" t="str">
        <x:v>Communications + Ranking Manager</x:v>
      </x:c>
      <x:c r="R5" s="63" t="n">
        <x:v>46255</x:v>
      </x:c>
      <x:c r="S5" s="44" t="n">
        <x:v>2</x:v>
      </x:c>
      <x:c r="T5" s="62" t="n">
        <x:v>3</x:v>
      </x:c>
      <x:c r="U5" s="62" t="n">
        <x:v>4</x:v>
      </x:c>
      <x:c r="V5" s="62" t="n">
        <x:v>5</x:v>
      </x:c>
      <x:c r="W5" s="62" t="n">
        <x:v>5</x:v>
      </x:c>
      <x:c r="X5" s="62" t="n">
        <x:v>5</x:v>
      </x:c>
      <x:c r="Y5" s="44" t="n">
        <x:f>ROUND((T5*'Scoring Rules'!$B$7+U5*'Scoring Rules'!$B$8+V5*'Scoring Rules'!$B$9+W5*'Scoring Rules'!$B$10+X5*'Scoring Rules'!$B$11)/5,1)</x:f>
        <x:v>83</x:v>
      </x:c>
      <x:c r="Z5" s="44" t="str">
        <x:f>IF(ABS(B5-Y5)&lt;0.01,"OK","CHECK")</x:f>
        <x:v>OK</x:v>
      </x:c>
      <x:c r="AA5" s="49" t="str">
        <x:v>https://esmt.berlin/about/accreditation-and-rankings | https://rankings.ft.com/rankings/3005/emba-2025</x:v>
      </x:c>
      <x:c r="AB5" s="44" t="n">
        <x:v>2</x:v>
      </x:c>
    </x:row>
    <x:row r="6" ht="66" customHeight="1">
      <x:c r="A6" s="44" t="str">
        <x:v>sig_esmt_mba_year_mismatch</x:v>
      </x:c>
      <x:c r="B6" s="60" t="n">
        <x:v>83</x:v>
      </x:c>
      <x:c r="C6" s="44" t="str">
        <x:v>Act now</x:v>
      </x:c>
      <x:c r="D6" s="44" t="str">
        <x:v>New</x:v>
      </x:c>
      <x:c r="E6" s="44" t="str">
        <x:v>communication_mismatch</x:v>
      </x:c>
      <x:c r="F6" s="49" t="str">
        <x:v>ESMT pages attach different years to the same Full-time MBA rank</x:v>
      </x:c>
      <x:c r="G6" s="49" t="str">
        <x:v>Full-time MBA</x:v>
      </x:c>
      <x:c r="H6" s="49" t="str">
        <x:v>Financial Times MBA</x:v>
      </x:c>
      <x:c r="I6" s="63" t="n">
        <x:v>46252</x:v>
      </x:c>
      <x:c r="J6" s="63" t="n">
        <x:v>46252</x:v>
      </x:c>
      <x:c r="K6" s="49" t="str">
        <x:v>observation_date</x:v>
      </x:c>
      <x:c r="L6" s="49" t="str">
        <x:v>Observed on 18 August 2026</x:v>
      </x:c>
      <x:c r="M6" s="49" t="str">
        <x:v>verified_cross_page_mismatch</x:v>
      </x:c>
      <x:c r="N6" s="49" t="str">
        <x:v>ESMT's degree-ranking page labels Full-time MBA rank 79 as 2026, consistent with the FT MBA 2026 result page. ESMT's central accreditation-and-rankings page labels rank 79 as 2025, while the FT 2025 rank shown on the degree page is 80.</x:v>
      </x:c>
      <x:c r="O6" s="49" t="str">
        <x:v>This is a controllable website QA defect. It can weaken trust in external claims and complicate future update cycles.</x:v>
      </x:c>
      <x:c r="P6" s="49" t="str">
        <x:v>Correct the year label on the central page and add a single structured ranking-claims register that feeds all public pages.</x:v>
      </x:c>
      <x:c r="Q6" s="49" t="str">
        <x:v>Communications + Ranking Manager</x:v>
      </x:c>
      <x:c r="R6" s="63" t="n">
        <x:v>46255</x:v>
      </x:c>
      <x:c r="S6" s="44" t="n">
        <x:v>3</x:v>
      </x:c>
      <x:c r="T6" s="62" t="n">
        <x:v>3</x:v>
      </x:c>
      <x:c r="U6" s="62" t="n">
        <x:v>4</x:v>
      </x:c>
      <x:c r="V6" s="62" t="n">
        <x:v>5</x:v>
      </x:c>
      <x:c r="W6" s="62" t="n">
        <x:v>5</x:v>
      </x:c>
      <x:c r="X6" s="62" t="n">
        <x:v>5</x:v>
      </x:c>
      <x:c r="Y6" s="44" t="n">
        <x:f>ROUND((T6*'Scoring Rules'!$B$7+U6*'Scoring Rules'!$B$8+V6*'Scoring Rules'!$B$9+W6*'Scoring Rules'!$B$10+X6*'Scoring Rules'!$B$11)/5,1)</x:f>
        <x:v>83</x:v>
      </x:c>
      <x:c r="Z6" s="44" t="str">
        <x:f>IF(ABS(B6-Y6)&lt;0.01,"OK","CHECK")</x:f>
        <x:v>OK</x:v>
      </x:c>
      <x:c r="AA6" s="49" t="str">
        <x:v>https://esmt.berlin/degrees/degree-rankings | https://esmt.berlin/about/accreditation-and-rankings | https://rankings.ft.com/rankings/3006/mba-2026</x:v>
      </x:c>
      <x:c r="AB6" s="44" t="n">
        <x:v>2</x:v>
      </x:c>
    </x:row>
    <x:row r="7" ht="66" customHeight="1">
      <x:c r="A7" s="44" t="str">
        <x:v>sig_qs_mba_2027_publication</x:v>
      </x:c>
      <x:c r="B7" s="60" t="n">
        <x:v>82</x:v>
      </x:c>
      <x:c r="C7" s="44" t="str">
        <x:v>Act now</x:v>
      </x:c>
      <x:c r="D7" s="44" t="str">
        <x:v>New</x:v>
      </x:c>
      <x:c r="E7" s="44" t="str">
        <x:v>publication_window</x:v>
      </x:c>
      <x:c r="F7" s="49" t="str">
        <x:v>QS plans the next Global MBA publication for September 2026</x:v>
      </x:c>
      <x:c r="G7" s="49" t="str">
        <x:v>Full-time MBA</x:v>
      </x:c>
      <x:c r="H7" s="49" t="str">
        <x:v>QS Global MBA Rankings 2027</x:v>
      </x:c>
      <x:c r="I7" s="63" t="n">
        <x:v>46266</x:v>
      </x:c>
      <x:c r="J7" s="63" t="n">
        <x:v>46295</x:v>
      </x:c>
      <x:c r="K7" s="49" t="str">
        <x:v>month</x:v>
      </x:c>
      <x:c r="L7" s="49" t="str">
        <x:v>September 2026</x:v>
      </x:c>
      <x:c r="M7" s="49" t="str">
        <x:v>verified</x:v>
      </x:c>
      <x:c r="N7" s="49" t="str">
        <x:v>QS lists September 2026 as the publication month for its Global MBA and Business Masters rankings in the 2027 cycle.</x:v>
      </x:c>
      <x:c r="O7" s="49" t="str">
        <x:v>ESMT needs a result-validation and communications plan, but the source does not provide an exact publication day.</x:v>
      </x:c>
      <x:c r="P7" s="49" t="str">
        <x:v>Create a September watch window and draft best/base/worst-case messaging. Do not advertise an exact date until QS confirms it.</x:v>
      </x:c>
      <x:c r="Q7" s="49" t="str">
        <x:v>Ranking Manager + MBA Team + Communications</x:v>
      </x:c>
      <x:c r="R7" s="63" t="n">
        <x:v>46265</x:v>
      </x:c>
      <x:c r="S7" s="44" t="n">
        <x:v>1</x:v>
      </x:c>
      <x:c r="T7" s="62" t="n">
        <x:v>4</x:v>
      </x:c>
      <x:c r="U7" s="62" t="n">
        <x:v>4</x:v>
      </x:c>
      <x:c r="V7" s="62" t="n">
        <x:v>4</x:v>
      </x:c>
      <x:c r="W7" s="62" t="n">
        <x:v>4</x:v>
      </x:c>
      <x:c r="X7" s="62" t="n">
        <x:v>5</x:v>
      </x:c>
      <x:c r="Y7" s="44" t="n">
        <x:f>ROUND((T7*'Scoring Rules'!$B$7+U7*'Scoring Rules'!$B$8+V7*'Scoring Rules'!$B$9+W7*'Scoring Rules'!$B$10+X7*'Scoring Rules'!$B$11)/5,1)</x:f>
        <x:v>82</x:v>
      </x:c>
      <x:c r="Z7" s="44" t="str">
        <x:f>IF(ABS(B7-Y7)&lt;0.01,"OK","CHECK")</x:f>
        <x:v>OK</x:v>
      </x:c>
      <x:c r="AA7" s="49" t="str">
        <x:v>https://support.qs.com/hc/en-gb/articles/6742129778588-QS-Graduate-Management-Education-GME-Rankings-Cycle-2027</x:v>
      </x:c>
      <x:c r="AB7" s="44" t="n">
        <x:v>1</x:v>
      </x:c>
    </x:row>
    <x:row r="8" ht="66" customHeight="1">
      <x:c r="A8" s="44" t="str">
        <x:v>sig_qs_mim_2027_publication</x:v>
      </x:c>
      <x:c r="B8" s="60" t="n">
        <x:v>82</x:v>
      </x:c>
      <x:c r="C8" s="44" t="str">
        <x:v>Act now</x:v>
      </x:c>
      <x:c r="D8" s="44" t="str">
        <x:v>New</x:v>
      </x:c>
      <x:c r="E8" s="44" t="str">
        <x:v>publication_window</x:v>
      </x:c>
      <x:c r="F8" s="49" t="str">
        <x:v>QS plans the next Business Masters publication for September 2026</x:v>
      </x:c>
      <x:c r="G8" s="49" t="str">
        <x:v>Master in Global Management</x:v>
      </x:c>
      <x:c r="H8" s="49" t="str">
        <x:v>QS Business Master's Rankings 2027: Management</x:v>
      </x:c>
      <x:c r="I8" s="63" t="n">
        <x:v>46266</x:v>
      </x:c>
      <x:c r="J8" s="63" t="n">
        <x:v>46295</x:v>
      </x:c>
      <x:c r="K8" s="49" t="str">
        <x:v>month</x:v>
      </x:c>
      <x:c r="L8" s="49" t="str">
        <x:v>September 2026</x:v>
      </x:c>
      <x:c r="M8" s="49" t="str">
        <x:v>verified</x:v>
      </x:c>
      <x:c r="N8" s="49" t="str">
        <x:v>QS lists September 2026 as the publication month for its Global MBA and Business Masters rankings in the 2027 cycle.</x:v>
      </x:c>
      <x:c r="O8" s="49" t="str">
        <x:v>The 2026 Management result showed a large rank movement with a small overall-score change, so publication-day analysis should separate score movement from cohort compression.</x:v>
      </x:c>
      <x:c r="P8" s="49" t="str">
        <x:v>Prepare score-distribution and German-peer comparisons before the release; use a month window until QS provides an exact day.</x:v>
      </x:c>
      <x:c r="Q8" s="49" t="str">
        <x:v>Ranking Manager + Masters Team + Communications</x:v>
      </x:c>
      <x:c r="R8" s="63" t="n">
        <x:v>46265</x:v>
      </x:c>
      <x:c r="S8" s="44" t="n">
        <x:v>1</x:v>
      </x:c>
      <x:c r="T8" s="62" t="n">
        <x:v>4</x:v>
      </x:c>
      <x:c r="U8" s="62" t="n">
        <x:v>4</x:v>
      </x:c>
      <x:c r="V8" s="62" t="n">
        <x:v>4</x:v>
      </x:c>
      <x:c r="W8" s="62" t="n">
        <x:v>4</x:v>
      </x:c>
      <x:c r="X8" s="62" t="n">
        <x:v>5</x:v>
      </x:c>
      <x:c r="Y8" s="44" t="n">
        <x:f>ROUND((T8*'Scoring Rules'!$B$7+U8*'Scoring Rules'!$B$8+V8*'Scoring Rules'!$B$9+W8*'Scoring Rules'!$B$10+X8*'Scoring Rules'!$B$11)/5,1)</x:f>
        <x:v>82</x:v>
      </x:c>
      <x:c r="Z8" s="44" t="str">
        <x:f>IF(ABS(B8-Y8)&lt;0.01,"OK","CHECK")</x:f>
        <x:v>OK</x:v>
      </x:c>
      <x:c r="AA8" s="49" t="str">
        <x:v>https://support.qs.com/hc/en-gb/articles/6742129778588-QS-Graduate-Management-Education-GME-Rankings-Cycle-2027</x:v>
      </x:c>
      <x:c r="AB8" s="44" t="n">
        <x:v>1</x:v>
      </x:c>
    </x:row>
    <x:row r="9" ht="66" customHeight="1">
      <x:c r="A9" s="44" t="str">
        <x:v>sig_qs_emba_2027_collection</x:v>
      </x:c>
      <x:c r="B9" s="60" t="n">
        <x:v>81</x:v>
      </x:c>
      <x:c r="C9" s="44" t="str">
        <x:v>Act now</x:v>
      </x:c>
      <x:c r="D9" s="44" t="str">
        <x:v>New</x:v>
      </x:c>
      <x:c r="E9" s="44" t="str">
        <x:v>submission_window</x:v>
      </x:c>
      <x:c r="F9" s="49" t="str">
        <x:v>QS Executive MBA 2027 data collection is expected from October to mid-January</x:v>
      </x:c>
      <x:c r="G9" s="49" t="str">
        <x:v>Executive MBA</x:v>
      </x:c>
      <x:c r="H9" s="49" t="str">
        <x:v>QS Executive MBA Rankings 2027</x:v>
      </x:c>
      <x:c r="I9" s="63" t="n">
        <x:v>46296</x:v>
      </x:c>
      <x:c r="J9" s="63" t="n">
        <x:v>46402</x:v>
      </x:c>
      <x:c r="K9" s="49" t="str">
        <x:v>approximate_window</x:v>
      </x:c>
      <x:c r="L9" s="49" t="str">
        <x:v>October 2026 to mid-January 2027</x:v>
      </x:c>
      <x:c r="M9" s="49" t="str">
        <x:v>verified</x:v>
      </x:c>
      <x:c r="N9" s="49" t="str">
        <x:v>QS states that institution data collection for the 2027 Executive MBA ranking will run from October 2026 to mid-January 2027 and that extensions will not be granted.</x:v>
      </x:c>
      <x:c r="O9" s="49" t="str">
        <x:v>The public schedule enables readiness work but does not replace the exact dates, validation rules, and field definitions in MoveIN.</x:v>
      </x:c>
      <x:c r="P9" s="49" t="str">
        <x:v>Create the internal data-owner matrix and evidence pack before October; record exact portal dates when the authorised account sees them.</x:v>
      </x:c>
      <x:c r="Q9" s="49" t="str">
        <x:v>Ranking Manager + Executive MBA Team</x:v>
      </x:c>
      <x:c r="R9" s="63" t="n">
        <x:v>46280</x:v>
      </x:c>
      <x:c r="S9" s="44" t="n">
        <x:v>2</x:v>
      </x:c>
      <x:c r="T9" s="62" t="n">
        <x:v>4</x:v>
      </x:c>
      <x:c r="U9" s="62" t="n">
        <x:v>3</x:v>
      </x:c>
      <x:c r="V9" s="62" t="n">
        <x:v>5</x:v>
      </x:c>
      <x:c r="W9" s="62" t="n">
        <x:v>4</x:v>
      </x:c>
      <x:c r="X9" s="62" t="n">
        <x:v>5</x:v>
      </x:c>
      <x:c r="Y9" s="44" t="n">
        <x:f>ROUND((T9*'Scoring Rules'!$B$7+U9*'Scoring Rules'!$B$8+V9*'Scoring Rules'!$B$9+W9*'Scoring Rules'!$B$10+X9*'Scoring Rules'!$B$11)/5,1)</x:f>
        <x:v>81</x:v>
      </x:c>
      <x:c r="Z9" s="44" t="str">
        <x:f>IF(ABS(B9-Y9)&lt;0.01,"OK","CHECK")</x:f>
        <x:v>OK</x:v>
      </x:c>
      <x:c r="AA9" s="49" t="str">
        <x:v>https://support.qs.com/hc/en-gb/articles/6742129778588-QS-Graduate-Management-Education-GME-Rankings-Cycle-2027</x:v>
      </x:c>
      <x:c r="AB9" s="44" t="n">
        <x:v>1</x:v>
      </x:c>
    </x:row>
    <x:row r="10" ht="66" customHeight="1">
      <x:c r="A10" s="44" t="str">
        <x:v>sig_qs_online_mba_2027_collection</x:v>
      </x:c>
      <x:c r="B10" s="60" t="n">
        <x:v>81</x:v>
      </x:c>
      <x:c r="C10" s="44" t="str">
        <x:v>Act now</x:v>
      </x:c>
      <x:c r="D10" s="44" t="str">
        <x:v>New</x:v>
      </x:c>
      <x:c r="E10" s="44" t="str">
        <x:v>submission_window</x:v>
      </x:c>
      <x:c r="F10" s="49" t="str">
        <x:v>QS Online MBA 2027 data collection is expected from October to mid-January</x:v>
      </x:c>
      <x:c r="G10" s="49" t="str">
        <x:v>Part-time Blended MBA</x:v>
      </x:c>
      <x:c r="H10" s="49" t="str">
        <x:v>QS Online MBA Rankings 2027</x:v>
      </x:c>
      <x:c r="I10" s="63" t="n">
        <x:v>46296</x:v>
      </x:c>
      <x:c r="J10" s="63" t="n">
        <x:v>46402</x:v>
      </x:c>
      <x:c r="K10" s="49" t="str">
        <x:v>approximate_window</x:v>
      </x:c>
      <x:c r="L10" s="49" t="str">
        <x:v>October 2026 to mid-January 2027</x:v>
      </x:c>
      <x:c r="M10" s="49" t="str">
        <x:v>verified</x:v>
      </x:c>
      <x:c r="N10" s="49" t="str">
        <x:v>QS states that institution data collection for the 2027 Online MBA ranking will run from October 2026 to mid-January 2027 and that extensions will not be granted.</x:v>
      </x:c>
      <x:c r="O10" s="49" t="str">
        <x:v>The public schedule is sufficient for readiness planning, but the operative deadline and questionnaire must be verified in MoveIN.</x:v>
      </x:c>
      <x:c r="P10" s="49" t="str">
        <x:v>Open an internal evidence checklist now, assign field owners, and require the authorised portal owner to record the exact opening and closing dates when available.</x:v>
      </x:c>
      <x:c r="Q10" s="49" t="str">
        <x:v>Ranking Manager + Part-time MBA Team</x:v>
      </x:c>
      <x:c r="R10" s="63" t="n">
        <x:v>46280</x:v>
      </x:c>
      <x:c r="S10" s="44" t="n">
        <x:v>2</x:v>
      </x:c>
      <x:c r="T10" s="62" t="n">
        <x:v>4</x:v>
      </x:c>
      <x:c r="U10" s="62" t="n">
        <x:v>3</x:v>
      </x:c>
      <x:c r="V10" s="62" t="n">
        <x:v>5</x:v>
      </x:c>
      <x:c r="W10" s="62" t="n">
        <x:v>4</x:v>
      </x:c>
      <x:c r="X10" s="62" t="n">
        <x:v>5</x:v>
      </x:c>
      <x:c r="Y10" s="44" t="n">
        <x:f>ROUND((T10*'Scoring Rules'!$B$7+U10*'Scoring Rules'!$B$8+V10*'Scoring Rules'!$B$9+W10*'Scoring Rules'!$B$10+X10*'Scoring Rules'!$B$11)/5,1)</x:f>
        <x:v>81</x:v>
      </x:c>
      <x:c r="Z10" s="44" t="str">
        <x:f>IF(ABS(B10-Y10)&lt;0.01,"OK","CHECK")</x:f>
        <x:v>OK</x:v>
      </x:c>
      <x:c r="AA10" s="49" t="str">
        <x:v>https://support.qs.com/hc/en-gb/articles/6742129778588-QS-Graduate-Management-Education-GME-Rankings-Cycle-2027</x:v>
      </x:c>
      <x:c r="AB10" s="44" t="n">
        <x:v>1</x:v>
      </x:c>
    </x:row>
    <x:row r="11" ht="66" customHeight="1">
      <x:c r="A11" s="44" t="str">
        <x:v>sig_equis_2026_microcredentials</x:v>
      </x:c>
      <x:c r="B11" s="60" t="n">
        <x:v>80</x:v>
      </x:c>
      <x:c r="C11" s="44" t="str">
        <x:v>Act now</x:v>
      </x:c>
      <x:c r="D11" s="44" t="str">
        <x:v>In review</x:v>
      </x:c>
      <x:c r="E11" s="44" t="str">
        <x:v>accreditation_standard</x:v>
      </x:c>
      <x:c r="F11" s="49" t="str">
        <x:v>EQUIS 2026 criteria explicitly include micro-credentials and stackable modules</x:v>
      </x:c>
      <x:c r="G11" s="49" t="str">
        <x:v>Executive Education; Degree programmes; Institution-wide</x:v>
      </x:c>
      <x:c r="H11" s="49" t="str">
        <x:v>EQUIS Standards and Criteria 2026</x:v>
      </x:c>
      <x:c r="I11" s="63" t="n">
        <x:v>46023</x:v>
      </x:c>
      <x:c r="J11" s="63" t="n">
        <x:v>46387</x:v>
      </x:c>
      <x:c r="K11" s="49" t="str">
        <x:v>year</x:v>
      </x:c>
      <x:c r="L11" s="49" t="str">
        <x:v>2026 edition</x:v>
      </x:c>
      <x:c r="M11" s="49" t="str">
        <x:v>verified_document_comparison</x:v>
      </x:c>
      <x:c r="N11" s="49" t="str">
        <x:v>The 2026 EQUIS criteria explicitly refer to micro-credentials and stackable modules in the internationalisation context; the term is absent from the 2025 criteria PDF checked for this prototype.</x:v>
      </x:c>
      <x:c r="O11" s="49" t="str">
        <x:v>ESMT should ensure that short-format and stackable learning offers are represented consistently in programme inventories, internationalisation evidence, quality assurance, and partner reporting.</x:v>
      </x:c>
      <x:c r="P11" s="49" t="str">
        <x:v>Document the relevant portfolio, governance, international reach, learning assurance, and evidence links; ask the accreditation owner whether this changes the next self-assessment narrative.</x:v>
      </x:c>
      <x:c r="Q11" s="49" t="str">
        <x:v>Accreditation Lead + Executive Education</x:v>
      </x:c>
      <x:c r="R11" s="63" t="n">
        <x:v>46310</x:v>
      </x:c>
      <x:c r="S11" s="44" t="n">
        <x:v>3</x:v>
      </x:c>
      <x:c r="T11" s="62" t="n">
        <x:v>4</x:v>
      </x:c>
      <x:c r="U11" s="62" t="n">
        <x:v>3</x:v>
      </x:c>
      <x:c r="V11" s="62" t="n">
        <x:v>4</x:v>
      </x:c>
      <x:c r="W11" s="62" t="n">
        <x:v>5</x:v>
      </x:c>
      <x:c r="X11" s="62" t="n">
        <x:v>5</x:v>
      </x:c>
      <x:c r="Y11" s="44" t="n">
        <x:f>ROUND((T11*'Scoring Rules'!$B$7+U11*'Scoring Rules'!$B$8+V11*'Scoring Rules'!$B$9+W11*'Scoring Rules'!$B$10+X11*'Scoring Rules'!$B$11)/5,1)</x:f>
        <x:v>80</x:v>
      </x:c>
      <x:c r="Z11" s="44" t="str">
        <x:f>IF(ABS(B11-Y11)&lt;0.01,"OK","CHECK")</x:f>
        <x:v>OK</x:v>
      </x:c>
      <x:c r="AA11" s="49" t="str">
        <x:v>https://www.efmdglobal.org/wp-content/uploads/EQUIS_Standards_and_Criteria.pdf | https://www.efmdglobal.org/wp-content/uploads/EQUIS-Standards-and-Criteria-2025.pdf | https://www.efmdglobal.org/accreditations-assessments/business-schools/equis/equis-guides-documents/</x:v>
      </x:c>
      <x:c r="AB11" s="44" t="n">
        <x:v>1</x:v>
      </x:c>
    </x:row>
    <x:row r="12" ht="66" customHeight="1">
      <x:c r="A12" s="44" t="str">
        <x:v>sig_ft_mim_2026_publication</x:v>
      </x:c>
      <x:c r="B12" s="60" t="n">
        <x:v>80</x:v>
      </x:c>
      <x:c r="C12" s="44" t="str">
        <x:v>Act now</x:v>
      </x:c>
      <x:c r="D12" s="44" t="str">
        <x:v>New</x:v>
      </x:c>
      <x:c r="E12" s="44" t="str">
        <x:v>publication_window</x:v>
      </x:c>
      <x:c r="F12" s="49" t="str">
        <x:v>FT Masters in Management 2026 publication is planned for 7 September</x:v>
      </x:c>
      <x:c r="G12" s="49" t="str">
        <x:v>Master in Global Management</x:v>
      </x:c>
      <x:c r="H12" s="49" t="str">
        <x:v>Financial Times Masters in Management</x:v>
      </x:c>
      <x:c r="I12" s="63" t="n">
        <x:v>46272</x:v>
      </x:c>
      <x:c r="J12" s="63" t="n">
        <x:v>46272</x:v>
      </x:c>
      <x:c r="K12" s="49" t="str">
        <x:v>exact_provisional</x:v>
      </x:c>
      <x:c r="L12" s="49" t="str">
        <x:v>7 September 2026; planned date is marked provisional by the FT calendar</x:v>
      </x:c>
      <x:c r="M12" s="49" t="str">
        <x:v>verified_with_calendar_caveat</x:v>
      </x:c>
      <x:c r="N12" s="49" t="str">
        <x:v>The Financial Times special-reports calendar plans the 2026 Masters in Management ranking for 7 September 2026.</x:v>
      </x:c>
      <x:c r="O12" s="49" t="str">
        <x:v>This is a near-term communications and result-validation event for ESMT's management master's portfolio; it is not a submission deadline.</x:v>
      </x:c>
      <x:c r="P12" s="49" t="str">
        <x:v>Prepare a publication-day validation checklist, peer comparison template, and pre-approved communication scenarios. Reconfirm the FT date one week before publication.</x:v>
      </x:c>
      <x:c r="Q12" s="49" t="str">
        <x:v>Ranking Manager + Communications</x:v>
      </x:c>
      <x:c r="R12" s="63" t="n">
        <x:v>46265</x:v>
      </x:c>
      <x:c r="S12" s="44" t="n">
        <x:v>1</x:v>
      </x:c>
      <x:c r="T12" s="62" t="n">
        <x:v>4</x:v>
      </x:c>
      <x:c r="U12" s="62" t="n">
        <x:v>4</x:v>
      </x:c>
      <x:c r="V12" s="62" t="n">
        <x:v>4</x:v>
      </x:c>
      <x:c r="W12" s="62" t="n">
        <x:v>4</x:v>
      </x:c>
      <x:c r="X12" s="62" t="n">
        <x:v>4</x:v>
      </x:c>
      <x:c r="Y12" s="44" t="n">
        <x:f>ROUND((T12*'Scoring Rules'!$B$7+U12*'Scoring Rules'!$B$8+V12*'Scoring Rules'!$B$9+W12*'Scoring Rules'!$B$10+X12*'Scoring Rules'!$B$11)/5,1)</x:f>
        <x:v>80</x:v>
      </x:c>
      <x:c r="Z12" s="44" t="str">
        <x:f>IF(ABS(B12-Y12)&lt;0.01,"OK","CHECK")</x:f>
        <x:v>OK</x:v>
      </x:c>
      <x:c r="AA12" s="49" t="str">
        <x:v>https://commercial.ft.com/special-reports-calendar/</x:v>
      </x:c>
      <x:c r="AB12" s="44" t="n">
        <x:v>1</x:v>
      </x:c>
    </x:row>
    <x:row r="13" ht="66" customHeight="1">
      <x:c r="A13" s="44" t="str">
        <x:v>sig_qs_mba_2026_shift</x:v>
      </x:c>
      <x:c r="B13" s="60" t="n">
        <x:v>77</x:v>
      </x:c>
      <x:c r="C13" s="44" t="str">
        <x:v>Act now</x:v>
      </x:c>
      <x:c r="D13" s="44" t="str">
        <x:v>In review</x:v>
      </x:c>
      <x:c r="E13" s="44" t="str">
        <x:v>competitive_shift</x:v>
      </x:c>
      <x:c r="F13" s="49" t="str">
        <x:v>ESMT's QS Global MBA rank moved from 78 to 84 while key German peers were broadly stable</x:v>
      </x:c>
      <x:c r="G13" s="49" t="str">
        <x:v>Full-time MBA</x:v>
      </x:c>
      <x:c r="H13" s="49" t="str">
        <x:v>QS Global MBA Rankings 2026</x:v>
      </x:c>
      <x:c r="I13" s="63" t="n">
        <x:v>45901</x:v>
      </x:c>
      <x:c r="J13" s="63" t="n">
        <x:v>45930</x:v>
      </x:c>
      <x:c r="K13" s="49" t="str">
        <x:v>publication_month_assumption</x:v>
      </x:c>
      <x:c r="L13" s="49" t="str">
        <x:v>2026 edition; workbook comparison uses the 2025 and 2026 result files</x:v>
      </x:c>
      <x:c r="M13" s="49" t="str">
        <x:v>computed_from_official_exports</x:v>
      </x:c>
      <x:c r="N13" s="49" t="str">
        <x:v>In the supplied QS exports, ESMT moved from rank 78 and score 60.4 in 2025 to rank 84 and score 59.4 in 2026. Entrepreneurship and Alumni Outcomes fell 5.4 points and Employability fell 2.1, while ROI, Thought Leadership, and Diversity improved. Frankfurt remained 40, Mannheim moved 47 to 46, and WHU moved 55 to 57.</x:v>
      </x:c>
      <x:c r="O13" s="49" t="str">
        <x:v>The movement is not explained by a broad decline among the selected German peers. The most plausible analytical focus is the two falling components, but causality cannot be inferred from result files alone.</x:v>
      </x:c>
      <x:c r="P13" s="49" t="str">
        <x:v>Reconcile the submitted inputs and survey/outcomes evidence behind Employability and Entrepreneurship &amp; Alumni Outcomes, then model feasible component scenarios using the published weights.</x:v>
      </x:c>
      <x:c r="Q13" s="49" t="str">
        <x:v>Ranking Manager + MBA Careers + Alumni Relations</x:v>
      </x:c>
      <x:c r="R13" s="63" t="n">
        <x:v>46295</x:v>
      </x:c>
      <x:c r="S13" s="44" t="n">
        <x:v>4</x:v>
      </x:c>
      <x:c r="T13" s="62" t="n">
        <x:v>4</x:v>
      </x:c>
      <x:c r="U13" s="62" t="n">
        <x:v>3</x:v>
      </x:c>
      <x:c r="V13" s="62" t="n">
        <x:v>4</x:v>
      </x:c>
      <x:c r="W13" s="62" t="n">
        <x:v>4</x:v>
      </x:c>
      <x:c r="X13" s="62" t="n">
        <x:v>5</x:v>
      </x:c>
      <x:c r="Y13" s="44" t="n">
        <x:f>ROUND((T13*'Scoring Rules'!$B$7+U13*'Scoring Rules'!$B$8+V13*'Scoring Rules'!$B$9+W13*'Scoring Rules'!$B$10+X13*'Scoring Rules'!$B$11)/5,1)</x:f>
        <x:v>77</x:v>
      </x:c>
      <x:c r="Z13" s="44" t="str">
        <x:f>IF(ABS(B13-Y13)&lt;0.01,"OK","CHECK")</x:f>
        <x:v>OK</x:v>
      </x:c>
      <x:c r="AA13" s="49" t="str">
        <x:v>https://www.topuniversities.com/mba-rankings | https://www.topuniversities.com/mba-rankings | https://www.topuniversities.com/mba-rankings | https://www.topmba.com/mba-rankings/methodology</x:v>
      </x:c>
      <x:c r="AB13" s="44" t="n">
        <x:v>1</x:v>
      </x:c>
    </x:row>
    <x:row r="14" ht="66" customHeight="1">
      <x:c r="A14" s="44" t="str">
        <x:v>sig_qs_mim_2026_shift</x:v>
      </x:c>
      <x:c r="B14" s="60" t="n">
        <x:v>77</x:v>
      </x:c>
      <x:c r="C14" s="44" t="str">
        <x:v>Act now</x:v>
      </x:c>
      <x:c r="D14" s="44" t="str">
        <x:v>In review</x:v>
      </x:c>
      <x:c r="E14" s="44" t="str">
        <x:v>competitive_shift</x:v>
      </x:c>
      <x:c r="F14" s="49" t="str">
        <x:v>ESMT's QS Management rank moved from 75 to 100 despite only a 0.9-point score decline</x:v>
      </x:c>
      <x:c r="G14" s="49" t="str">
        <x:v>Master in Global Management</x:v>
      </x:c>
      <x:c r="H14" s="49" t="str">
        <x:v>QS Business Master's Rankings 2026: Management</x:v>
      </x:c>
      <x:c r="I14" s="63" t="n">
        <x:v>45901</x:v>
      </x:c>
      <x:c r="J14" s="63" t="n">
        <x:v>45930</x:v>
      </x:c>
      <x:c r="K14" s="49" t="str">
        <x:v>publication_month_assumption</x:v>
      </x:c>
      <x:c r="L14" s="49" t="str">
        <x:v>2026 edition; workbook comparison uses the 2025 and 2026 result files</x:v>
      </x:c>
      <x:c r="M14" s="49" t="str">
        <x:v>computed_from_official_exports</x:v>
      </x:c>
      <x:c r="N14" s="49" t="str">
        <x:v>In the supplied QS exports, ESMT moved from rank 75 and score 52.0 in 2025 to rank 100 and score 51.1 in 2026. Value for Money fell 4.6 points and Diversity fell 3.1, while Thought Leadership rose 1.8 and Employability rose 0.2. Several selected German peers improved or fell less sharply.</x:v>
      </x:c>
      <x:c r="O14" s="49" t="str">
        <x:v>A 25-place rank movement with a 0.9-point score decline suggests cohort density and competitor movement matter. Treating the rank change alone as a performance collapse would be analytically weak.</x:v>
      </x:c>
      <x:c r="P14" s="49" t="str">
        <x:v>Analyse Value for Money inputs, score density around ESMT, new entrants, and peer changes; present score and rank side by side in management reporting.</x:v>
      </x:c>
      <x:c r="Q14" s="49" t="str">
        <x:v>Ranking Manager + Masters Team + Finance/Careers data owners</x:v>
      </x:c>
      <x:c r="R14" s="63" t="n">
        <x:v>46295</x:v>
      </x:c>
      <x:c r="S14" s="44" t="n">
        <x:v>3</x:v>
      </x:c>
      <x:c r="T14" s="62" t="n">
        <x:v>4</x:v>
      </x:c>
      <x:c r="U14" s="62" t="n">
        <x:v>3</x:v>
      </x:c>
      <x:c r="V14" s="62" t="n">
        <x:v>4</x:v>
      </x:c>
      <x:c r="W14" s="62" t="n">
        <x:v>4</x:v>
      </x:c>
      <x:c r="X14" s="62" t="n">
        <x:v>5</x:v>
      </x:c>
      <x:c r="Y14" s="44" t="n">
        <x:f>ROUND((T14*'Scoring Rules'!$B$7+U14*'Scoring Rules'!$B$8+V14*'Scoring Rules'!$B$9+W14*'Scoring Rules'!$B$10+X14*'Scoring Rules'!$B$11)/5,1)</x:f>
        <x:v>77</x:v>
      </x:c>
      <x:c r="Z14" s="44" t="str">
        <x:f>IF(ABS(B14-Y14)&lt;0.01,"OK","CHECK")</x:f>
        <x:v>OK</x:v>
      </x:c>
      <x:c r="AA14" s="49" t="str">
        <x:v>https://www.topuniversities.com/mba-rankings | https://www.topuniversities.com/mba-rankings | https://www.topuniversities.com/business-masters-rankings/management</x:v>
      </x:c>
      <x:c r="AB14" s="44" t="n">
        <x:v>1</x:v>
      </x:c>
    </x:row>
    <x:row r="15" ht="66" customHeight="1">
      <x:c r="A15" s="44" t="str">
        <x:v>sig_ft_emba_2026_publication</x:v>
      </x:c>
      <x:c r="B15" s="60" t="n">
        <x:v>75</x:v>
      </x:c>
      <x:c r="C15" s="44" t="str">
        <x:v>Act now</x:v>
      </x:c>
      <x:c r="D15" s="44" t="str">
        <x:v>New</x:v>
      </x:c>
      <x:c r="E15" s="44" t="str">
        <x:v>publication_window</x:v>
      </x:c>
      <x:c r="F15" s="49" t="str">
        <x:v>FT Executive MBA 2026 publication is planned for 12 October</x:v>
      </x:c>
      <x:c r="G15" s="49" t="str">
        <x:v>Executive MBA</x:v>
      </x:c>
      <x:c r="H15" s="49" t="str">
        <x:v>Financial Times Executive MBA</x:v>
      </x:c>
      <x:c r="I15" s="63" t="n">
        <x:v>46307</x:v>
      </x:c>
      <x:c r="J15" s="63" t="n">
        <x:v>46307</x:v>
      </x:c>
      <x:c r="K15" s="49" t="str">
        <x:v>exact_provisional</x:v>
      </x:c>
      <x:c r="L15" s="49" t="str">
        <x:v>12 October 2026; planned date is marked provisional by the FT calendar</x:v>
      </x:c>
      <x:c r="M15" s="49" t="str">
        <x:v>verified_with_calendar_caveat</x:v>
      </x:c>
      <x:c r="N15" s="49" t="str">
        <x:v>The Financial Times special-reports calendar plans the 2026 Executive MBA ranking for 12 October 2026.</x:v>
      </x:c>
      <x:c r="O15" s="49" t="str">
        <x:v>The event is relevant to result validation and to correcting the current year-label inconsistency on ESMT's central ranking page.</x:v>
      </x:c>
      <x:c r="P15" s="49" t="str">
        <x:v>Resolve the existing 2025/2026 label mismatch before the new cycle, then prepare an October validation and communications checklist.</x:v>
      </x:c>
      <x:c r="Q15" s="49" t="str">
        <x:v>Ranking Manager + Executive MBA Team + Communications</x:v>
      </x:c>
      <x:c r="R15" s="63" t="n">
        <x:v>46300</x:v>
      </x:c>
      <x:c r="S15" s="44" t="n">
        <x:v>1</x:v>
      </x:c>
      <x:c r="T15" s="62" t="n">
        <x:v>4</x:v>
      </x:c>
      <x:c r="U15" s="62" t="n">
        <x:v>3</x:v>
      </x:c>
      <x:c r="V15" s="62" t="n">
        <x:v>4</x:v>
      </x:c>
      <x:c r="W15" s="62" t="n">
        <x:v>4</x:v>
      </x:c>
      <x:c r="X15" s="62" t="n">
        <x:v>4</x:v>
      </x:c>
      <x:c r="Y15" s="44" t="n">
        <x:f>ROUND((T15*'Scoring Rules'!$B$7+U15*'Scoring Rules'!$B$8+V15*'Scoring Rules'!$B$9+W15*'Scoring Rules'!$B$10+X15*'Scoring Rules'!$B$11)/5,1)</x:f>
        <x:v>75</x:v>
      </x:c>
      <x:c r="Z15" s="44" t="str">
        <x:f>IF(ABS(B15-Y15)&lt;0.01,"OK","CHECK")</x:f>
        <x:v>OK</x:v>
      </x:c>
      <x:c r="AA15" s="49" t="str">
        <x:v>https://commercial.ft.com/special-reports-calendar/</x:v>
      </x:c>
      <x:c r="AB15" s="44" t="n">
        <x:v>1</x:v>
      </x:c>
    </x:row>
    <x:row r="16" ht="66" customHeight="1">
      <x:c r="A16" s="44" t="str">
        <x:v>sig_ft_online_mba_2026_result</x:v>
      </x:c>
      <x:c r="B16" s="60" t="n">
        <x:v>73</x:v>
      </x:c>
      <x:c r="C16" s="44" t="str">
        <x:v>Plan</x:v>
      </x:c>
      <x:c r="D16" s="44" t="str">
        <x:v>In review</x:v>
      </x:c>
      <x:c r="E16" s="44" t="str">
        <x:v>ranking_result</x:v>
      </x:c>
      <x:c r="F16" s="49" t="str">
        <x:v>ESMT reports Germany's top position in the FT Online MBA 2026 ranking</x:v>
      </x:c>
      <x:c r="G16" s="49" t="str">
        <x:v>Part-time Blended MBA</x:v>
      </x:c>
      <x:c r="H16" s="49" t="str">
        <x:v>Financial Times Online MBA 2026</x:v>
      </x:c>
      <x:c r="I16" s="63" t="n">
        <x:v>46082</x:v>
      </x:c>
      <x:c r="J16" s="63" t="n">
        <x:v>46112</x:v>
      </x:c>
      <x:c r="K16" s="49" t="str">
        <x:v>month_not_verified_in_seed</x:v>
      </x:c>
      <x:c r="L16" s="49" t="str">
        <x:v>2026 edition; exact day not asserted in this seed signal</x:v>
      </x:c>
      <x:c r="M16" s="49" t="str">
        <x:v>verified_school_claim_requires_publisher_archive</x:v>
      </x:c>
      <x:c r="N16" s="49" t="str">
        <x:v>ESMT's official degree-ranking page describes the Part-time MBA as first in Germany in the FT Online MBA 2026 ranking.</x:v>
      </x:c>
      <x:c r="O16" s="49" t="str">
        <x:v>The claim is strategically useful but is not fully evidenced in the prototype because the publisher result row has not been archived.</x:v>
      </x:c>
      <x:c r="P16" s="49" t="str">
        <x:v>Archive the FT result row and approved wording, then align the public programme and central ranking pages to the same record.</x:v>
      </x:c>
      <x:c r="Q16" s="49" t="str">
        <x:v>Ranking Manager + Part-time MBA Team + Communications</x:v>
      </x:c>
      <x:c r="R16" s="63" t="n">
        <x:v>46280</x:v>
      </x:c>
      <x:c r="S16" s="44" t="n">
        <x:v>2</x:v>
      </x:c>
      <x:c r="T16" s="62" t="n">
        <x:v>4</x:v>
      </x:c>
      <x:c r="U16" s="62" t="n">
        <x:v>2</x:v>
      </x:c>
      <x:c r="V16" s="62" t="n">
        <x:v>4</x:v>
      </x:c>
      <x:c r="W16" s="62" t="n">
        <x:v>5</x:v>
      </x:c>
      <x:c r="X16" s="62" t="n">
        <x:v>4</x:v>
      </x:c>
      <x:c r="Y16" s="44" t="n">
        <x:f>ROUND((T16*'Scoring Rules'!$B$7+U16*'Scoring Rules'!$B$8+V16*'Scoring Rules'!$B$9+W16*'Scoring Rules'!$B$10+X16*'Scoring Rules'!$B$11)/5,1)</x:f>
        <x:v>73</x:v>
      </x:c>
      <x:c r="Z16" s="44" t="str">
        <x:f>IF(ABS(B16-Y16)&lt;0.01,"OK","CHECK")</x:f>
        <x:v>OK</x:v>
      </x:c>
      <x:c r="AA16" s="49" t="str">
        <x:v>https://esmt.berlin/degrees/degree-rankings | https://rankings.ft.com/methodology</x:v>
      </x:c>
      <x:c r="AB16" s="44" t="n">
        <x:v>1</x:v>
      </x:c>
    </x:row>
    <x:row r="17" ht="66" customHeight="1">
      <x:c r="A17" s="44" t="str">
        <x:v>sig_ft_execed_2026_result</x:v>
      </x:c>
      <x:c r="B17" s="60" t="n">
        <x:v>73</x:v>
      </x:c>
      <x:c r="C17" s="44" t="str">
        <x:v>Plan</x:v>
      </x:c>
      <x:c r="D17" s="44" t="str">
        <x:v>In review</x:v>
      </x:c>
      <x:c r="E17" s="44" t="str">
        <x:v>ranking_result</x:v>
      </x:c>
      <x:c r="F17" s="49" t="str">
        <x:v>ESMT reports top-10 positions in both FT Executive Education 2026 tables</x:v>
      </x:c>
      <x:c r="G17" s="49" t="str">
        <x:v>Executive Education</x:v>
      </x:c>
      <x:c r="H17" s="49" t="str">
        <x:v>Financial Times Executive Education 2026</x:v>
      </x:c>
      <x:c r="I17" s="63" t="n">
        <x:v>46143</x:v>
      </x:c>
      <x:c r="J17" s="63" t="n">
        <x:v>46173</x:v>
      </x:c>
      <x:c r="K17" s="49" t="str">
        <x:v>month_not_verified_in_seed</x:v>
      </x:c>
      <x:c r="L17" s="49" t="str">
        <x:v>2026 edition; exact day not asserted in this seed signal</x:v>
      </x:c>
      <x:c r="M17" s="49" t="str">
        <x:v>verified_school_claim_requires_publisher_archive</x:v>
      </x:c>
      <x:c r="N17" s="49" t="str">
        <x:v>ESMT's official ranking pages report rank 5 for customised executive education and rank 9 for open-enrolment executive education in the FT 2026 results; the open result is described as first in Germany.</x:v>
      </x:c>
      <x:c r="O17" s="49" t="str">
        <x:v>These are strong public claims, but the prototype has not archived the corresponding publisher result rows. Production should not rely on the school page alone.</x:v>
      </x:c>
      <x:c r="P17" s="49" t="str">
        <x:v>Attach the FT result rows and approved claim wording to the evidence register, then verify consistency across Executive Education pages and campaign materials.</x:v>
      </x:c>
      <x:c r="Q17" s="49" t="str">
        <x:v>Ranking Manager + Executive Education + Communications</x:v>
      </x:c>
      <x:c r="R17" s="63" t="n">
        <x:v>46280</x:v>
      </x:c>
      <x:c r="S17" s="44" t="n">
        <x:v>3</x:v>
      </x:c>
      <x:c r="T17" s="62" t="n">
        <x:v>4</x:v>
      </x:c>
      <x:c r="U17" s="62" t="n">
        <x:v>2</x:v>
      </x:c>
      <x:c r="V17" s="62" t="n">
        <x:v>4</x:v>
      </x:c>
      <x:c r="W17" s="62" t="n">
        <x:v>5</x:v>
      </x:c>
      <x:c r="X17" s="62" t="n">
        <x:v>4</x:v>
      </x:c>
      <x:c r="Y17" s="44" t="n">
        <x:f>ROUND((T17*'Scoring Rules'!$B$7+U17*'Scoring Rules'!$B$8+V17*'Scoring Rules'!$B$9+W17*'Scoring Rules'!$B$10+X17*'Scoring Rules'!$B$11)/5,1)</x:f>
        <x:v>73</x:v>
      </x:c>
      <x:c r="Z17" s="44" t="str">
        <x:f>IF(ABS(B17-Y17)&lt;0.01,"OK","CHECK")</x:f>
        <x:v>OK</x:v>
      </x:c>
      <x:c r="AA17" s="49" t="str">
        <x:v>https://esmt.berlin/degrees/degree-rankings | https://esmt.berlin/about/accreditation-and-rankings | https://rankings.ft.com/methodology</x:v>
      </x:c>
      <x:c r="AB17" s="44" t="n">
        <x:v>1</x:v>
      </x:c>
    </x:row>
    <x:row r="18" ht="66" customHeight="1">
      <x:c r="A18" s="44" t="str">
        <x:v>sig_ft_mba_2026_result</x:v>
      </x:c>
      <x:c r="B18" s="60" t="n">
        <x:v>69</x:v>
      </x:c>
      <x:c r="C18" s="44" t="str">
        <x:v>Plan</x:v>
      </x:c>
      <x:c r="D18" s="44" t="str">
        <x:v>Monitoring</x:v>
      </x:c>
      <x:c r="E18" s="44" t="str">
        <x:v>ranking_result</x:v>
      </x:c>
      <x:c r="F18" s="49" t="str">
        <x:v>ESMT is 79th globally and second in Germany in the FT MBA 2026 ranking</x:v>
      </x:c>
      <x:c r="G18" s="49" t="str">
        <x:v>Full-time MBA</x:v>
      </x:c>
      <x:c r="H18" s="49" t="str">
        <x:v>Financial Times MBA 2026</x:v>
      </x:c>
      <x:c r="I18" s="63" t="n">
        <x:v>46069</x:v>
      </x:c>
      <x:c r="J18" s="63" t="n">
        <x:v>46069</x:v>
      </x:c>
      <x:c r="K18" s="49" t="str">
        <x:v>exact</x:v>
      </x:c>
      <x:c r="L18" s="49" t="str">
        <x:v>Published 16 February 2026</x:v>
      </x:c>
      <x:c r="M18" s="49" t="str">
        <x:v>verified</x:v>
      </x:c>
      <x:c r="N18" s="49" t="str">
        <x:v>The FT MBA 2026 result places ESMT at rank 79. ESMT's degree-ranking page describes this as second in Germany.</x:v>
      </x:c>
      <x:c r="O18" s="49" t="str">
        <x:v>The result is already public. The remaining operational value is claim consistency, peer/component analysis, and preserving a validated evidence record.</x:v>
      </x:c>
      <x:c r="P18" s="49" t="str">
        <x:v>Archive the validated result, rank context, publication date, approved claim wording, and source snapshot in the central claims register.</x:v>
      </x:c>
      <x:c r="Q18" s="49" t="str">
        <x:v>Ranking Manager + Communications</x:v>
      </x:c>
      <x:c r="R18" s="63" t="n">
        <x:v>46265</x:v>
      </x:c>
      <x:c r="S18" s="44" t="n">
        <x:v>2</x:v>
      </x:c>
      <x:c r="T18" s="62" t="n">
        <x:v>3</x:v>
      </x:c>
      <x:c r="U18" s="62" t="n">
        <x:v>2</x:v>
      </x:c>
      <x:c r="V18" s="62" t="n">
        <x:v>4</x:v>
      </x:c>
      <x:c r="W18" s="62" t="n">
        <x:v>5</x:v>
      </x:c>
      <x:c r="X18" s="62" t="n">
        <x:v>5</x:v>
      </x:c>
      <x:c r="Y18" s="44" t="n">
        <x:f>ROUND((T18*'Scoring Rules'!$B$7+U18*'Scoring Rules'!$B$8+V18*'Scoring Rules'!$B$9+W18*'Scoring Rules'!$B$10+X18*'Scoring Rules'!$B$11)/5,1)</x:f>
        <x:v>69</x:v>
      </x:c>
      <x:c r="Z18" s="44" t="str">
        <x:f>IF(ABS(B18-Y18)&lt;0.01,"OK","CHECK")</x:f>
        <x:v>OK</x:v>
      </x:c>
      <x:c r="AA18" s="49" t="str">
        <x:v>https://rankings.ft.com/rankings/3006/mba-2026 | https://esmt.berlin/degrees/degree-rankings</x:v>
      </x:c>
      <x:c r="AB18" s="44" t="n">
        <x:v>2</x:v>
      </x:c>
    </x:row>
    <x:row r="19" ht="66" customHeight="1">
      <x:c r="A19" s="44" t="str">
        <x:v>sig_ft_ebs_2026_publication</x:v>
      </x:c>
      <x:c r="B19" s="60" t="n">
        <x:v>69</x:v>
      </x:c>
      <x:c r="C19" s="44" t="str">
        <x:v>Plan</x:v>
      </x:c>
      <x:c r="D19" s="44" t="str">
        <x:v>Monitoring</x:v>
      </x:c>
      <x:c r="E19" s="44" t="str">
        <x:v>publication_window</x:v>
      </x:c>
      <x:c r="F19" s="49" t="str">
        <x:v>FT European Business Schools 2026 publication is planned for 7 December</x:v>
      </x:c>
      <x:c r="G19" s="49" t="str">
        <x:v>Institution-wide</x:v>
      </x:c>
      <x:c r="H19" s="49" t="str">
        <x:v>Financial Times European Business Schools</x:v>
      </x:c>
      <x:c r="I19" s="63" t="n">
        <x:v>46363</x:v>
      </x:c>
      <x:c r="J19" s="63" t="n">
        <x:v>46363</x:v>
      </x:c>
      <x:c r="K19" s="49" t="str">
        <x:v>exact_provisional</x:v>
      </x:c>
      <x:c r="L19" s="49" t="str">
        <x:v>7 December 2026; planned date is marked provisional by the FT calendar</x:v>
      </x:c>
      <x:c r="M19" s="49" t="str">
        <x:v>verified_with_calendar_caveat</x:v>
      </x:c>
      <x:c r="N19" s="49" t="str">
        <x:v>The Financial Times special-reports calendar plans the 2026 European Business Schools ranking for 7 December 2026.</x:v>
      </x:c>
      <x:c r="O19" s="49" t="str">
        <x:v>This composite ranking can affect institution-level positioning and draws on performance across eligible FT programme rankings.</x:v>
      </x:c>
      <x:c r="P19" s="49" t="str">
        <x:v>Maintain an auditable component-results bridge and create a pre-release scenario model; reconfirm the provisional date in late November.</x:v>
      </x:c>
      <x:c r="Q19" s="49" t="str">
        <x:v>Ranking Manager</x:v>
      </x:c>
      <x:c r="R19" s="63" t="n">
        <x:v>46356</x:v>
      </x:c>
      <x:c r="S19" s="44" t="n">
        <x:v>1</x:v>
      </x:c>
      <x:c r="T19" s="62" t="n">
        <x:v>4</x:v>
      </x:c>
      <x:c r="U19" s="62" t="n">
        <x:v>2</x:v>
      </x:c>
      <x:c r="V19" s="62" t="n">
        <x:v>3</x:v>
      </x:c>
      <x:c r="W19" s="62" t="n">
        <x:v>5</x:v>
      </x:c>
      <x:c r="X19" s="62" t="n">
        <x:v>4</x:v>
      </x:c>
      <x:c r="Y19" s="44" t="n">
        <x:f>ROUND((T19*'Scoring Rules'!$B$7+U19*'Scoring Rules'!$B$8+V19*'Scoring Rules'!$B$9+W19*'Scoring Rules'!$B$10+X19*'Scoring Rules'!$B$11)/5,1)</x:f>
        <x:v>69</x:v>
      </x:c>
      <x:c r="Z19" s="44" t="str">
        <x:f>IF(ABS(B19-Y19)&lt;0.01,"OK","CHECK")</x:f>
        <x:v>OK</x:v>
      </x:c>
      <x:c r="AA19" s="49" t="str">
        <x:v>https://commercial.ft.com/special-reports-calendar/</x:v>
      </x:c>
      <x:c r="AB19" s="44" t="n">
        <x:v>1</x:v>
      </x:c>
    </x:row>
    <x:row r="20" ht="66" customHeight="1">
      <x:c r="A20" s="44" t="str">
        <x:v>sig_ft_ebs_2025_result</x:v>
      </x:c>
      <x:c r="B20" s="60" t="n">
        <x:v>66</x:v>
      </x:c>
      <x:c r="C20" s="44" t="str">
        <x:v>Plan</x:v>
      </x:c>
      <x:c r="D20" s="44" t="str">
        <x:v>Monitoring</x:v>
      </x:c>
      <x:c r="E20" s="44" t="str">
        <x:v>ranking_result</x:v>
      </x:c>
      <x:c r="F20" s="49" t="str">
        <x:v>ESMT is 12th in Europe and first in Germany in the FT European Business Schools 2025 ranking</x:v>
      </x:c>
      <x:c r="G20" s="49" t="str">
        <x:v>Institution-wide</x:v>
      </x:c>
      <x:c r="H20" s="49" t="str">
        <x:v>Financial Times European Business Schools 2025</x:v>
      </x:c>
      <x:c r="I20" s="63" t="n">
        <x:v>45992</x:v>
      </x:c>
      <x:c r="J20" s="63" t="n">
        <x:v>46022</x:v>
      </x:c>
      <x:c r="K20" s="49" t="str">
        <x:v>month_not_verified_in_seed</x:v>
      </x:c>
      <x:c r="L20" s="49" t="str">
        <x:v>2025 edition; exact day not asserted in this seed signal</x:v>
      </x:c>
      <x:c r="M20" s="49" t="str">
        <x:v>verified_from_export_and_school_claim</x:v>
      </x:c>
      <x:c r="N20" s="49" t="str">
        <x:v>The supplied FT export and ESMT's ranking pages place ESMT at rank 12 in Europe and first in Germany in the 2025 European Business Schools ranking.</x:v>
      </x:c>
      <x:c r="O20" s="49" t="str">
        <x:v>The result is a high-value institutional claim, but it should be linked to the correct cycle, ranking scope, and component evidence.</x:v>
      </x:c>
      <x:c r="P20" s="49" t="str">
        <x:v>Keep the claim in the structured register and document the component rankings feeding the composite result for management reporting.</x:v>
      </x:c>
      <x:c r="Q20" s="49" t="str">
        <x:v>Ranking Manager + Communications</x:v>
      </x:c>
      <x:c r="R20" s="63" t="n">
        <x:v>46295</x:v>
      </x:c>
      <x:c r="S20" s="44" t="n">
        <x:v>3</x:v>
      </x:c>
      <x:c r="T20" s="62" t="n">
        <x:v>4</x:v>
      </x:c>
      <x:c r="U20" s="62" t="n">
        <x:v>1</x:v>
      </x:c>
      <x:c r="V20" s="62" t="n">
        <x:v>3</x:v>
      </x:c>
      <x:c r="W20" s="62" t="n">
        <x:v>5</x:v>
      </x:c>
      <x:c r="X20" s="62" t="n">
        <x:v>5</x:v>
      </x:c>
      <x:c r="Y20" s="44" t="n">
        <x:f>ROUND((T20*'Scoring Rules'!$B$7+U20*'Scoring Rules'!$B$8+V20*'Scoring Rules'!$B$9+W20*'Scoring Rules'!$B$10+X20*'Scoring Rules'!$B$11)/5,1)</x:f>
        <x:v>66</x:v>
      </x:c>
      <x:c r="Z20" s="44" t="str">
        <x:f>IF(ABS(B20-Y20)&lt;0.01,"OK","CHECK")</x:f>
        <x:v>OK</x:v>
      </x:c>
      <x:c r="AA20" s="49" t="str">
        <x:v>https://rankings.ft.com/business-education/european-business-school-rankings | https://esmt.berlin/degrees/degree-rankings | https://esmt.berlin/about/accreditation-and-rankings</x:v>
      </x:c>
      <x:c r="AB20" s="44" t="n">
        <x:v>2</x:v>
      </x:c>
    </x:row>
  </x:sheetData>
  <x:mergeCells>
    <x:mergeCell ref="A1:AB1"/>
  </x:mergeCells>
  <x:conditionalFormatting sqref="B3:B20">
    <x:cfRule type="colorScale" priority="1">
      <x:colorScale>
        <x:cfvo type="min"/>
        <x:cfvo type="percentile" val="50"/>
        <x:cfvo type="max"/>
        <x:color rgb="FFF3F5F8"/>
        <x:color rgb="FFFFF4DF"/>
        <x:color rgb="FFFDECEC"/>
      </x:colorScale>
    </x:cfRule>
  </x:conditionalFormatting>
  <x:conditionalFormatting sqref="Z3:Z20">
    <x:cfRule type="containsText" dxfId="0" priority="2" operator="containsText" text="CHECK"/>
  </x:conditionalFormatting>
  <x:dataValidations count="1">
    <x:dataValidation type="list" sqref="D3:D20">
      <x:formula1>"New,In review,Actioned,Monitoring,Closed,Superseded"</x:formula1>
    </x:dataValidation>
  </x:dataValidations>
  <x:pageMargins left="0.7" right="0.7" top="0.75" bottom="0.75" header="0.3" footer="0.3"/>
  <x:tableParts count="1">
    <x:tablePart xmlns:r="http://schemas.openxmlformats.org/officeDocument/2006/relationships" r:id="R3e88816d58584e3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38" hidden="0" customWidth="1"/>
    <x:col min="3" max="3" width="22" hidden="0" customWidth="1"/>
    <x:col min="4" max="4" width="22" hidden="0" customWidth="1"/>
    <x:col min="5" max="5" width="22" hidden="0" customWidth="1"/>
    <x:col min="6" max="6" width="22" hidden="0" customWidth="1"/>
    <x:col min="7" max="7" width="26" hidden="0" customWidth="1"/>
    <x:col min="8" max="8" width="14" hidden="0" customWidth="1"/>
    <x:col min="9" max="9" width="14" hidden="0" customWidth="1"/>
    <x:col min="10" max="10" width="14" hidden="0" customWidth="1"/>
    <x:col min="11" max="11" width="48" hidden="0" customWidth="1"/>
    <x:col min="12" max="12" width="50" hidden="0" customWidth="1"/>
  </x:cols>
  <x:sheetData>
    <x:row r="1" ht="34" customHeight="1">
      <x:c r="A1" s="3" t="str">
        <x:v>Source Registry and Coverage Gaps</x:v>
      </x:c>
      <x:c r="B1" s="3" t="str">
        <x:v>Source Registry and Coverage Gaps</x:v>
      </x:c>
      <x:c r="C1" s="3" t="str">
        <x:v>Source Registry and Coverage Gaps</x:v>
      </x:c>
      <x:c r="D1" s="3" t="str">
        <x:v>Source Registry and Coverage Gaps</x:v>
      </x:c>
      <x:c r="E1" s="3" t="str">
        <x:v>Source Registry and Coverage Gaps</x:v>
      </x:c>
      <x:c r="F1" s="3" t="str">
        <x:v>Source Registry and Coverage Gaps</x:v>
      </x:c>
      <x:c r="G1" s="3" t="str">
        <x:v>Source Registry and Coverage Gaps</x:v>
      </x:c>
      <x:c r="H1" s="3" t="str">
        <x:v>Source Registry and Coverage Gaps</x:v>
      </x:c>
      <x:c r="I1" s="3" t="str">
        <x:v>Source Registry and Coverage Gaps</x:v>
      </x:c>
      <x:c r="J1" s="3" t="str">
        <x:v>Source Registry and Coverage Gaps</x:v>
      </x:c>
      <x:c r="K1" s="3" t="str">
        <x:v>Source Registry and Coverage Gaps</x:v>
      </x:c>
      <x:c r="L1" s="3" t="str">
        <x:v>Source Registry and Coverage Gaps</x:v>
      </x:c>
    </x:row>
    <x:row r="2" ht="30" customHeight="1">
      <x:c r="A2" s="33" t="str">
        <x:v>Source ID</x:v>
      </x:c>
      <x:c r="B2" s="33" t="str">
        <x:v>Source</x:v>
      </x:c>
      <x:c r="C2" s="33" t="str">
        <x:v>Publisher</x:v>
      </x:c>
      <x:c r="D2" s="33" t="str">
        <x:v>Family</x:v>
      </x:c>
      <x:c r="E2" s="33" t="str">
        <x:v>Evidence Type</x:v>
      </x:c>
      <x:c r="F2" s="33" t="str">
        <x:v>Access Mode</x:v>
      </x:c>
      <x:c r="G2" s="33" t="str">
        <x:v>Cadence</x:v>
      </x:c>
      <x:c r="H2" s="33" t="str">
        <x:v>Authority (0-5)</x:v>
      </x:c>
      <x:c r="I2" s="33" t="str">
        <x:v>Enabled</x:v>
      </x:c>
      <x:c r="J2" s="33" t="str">
        <x:v>Last Checked</x:v>
      </x:c>
      <x:c r="K2" s="33" t="str">
        <x:v>Canonical URL</x:v>
      </x:c>
      <x:c r="L2" s="33" t="str">
        <x:v>Caveat</x:v>
      </x:c>
    </x:row>
    <x:row r="3" ht="38" customHeight="1">
      <x:c r="A3" s="65" t="str">
        <x:v>src_ft_calendar</x:v>
      </x:c>
      <x:c r="B3" s="65" t="str">
        <x:v>Financial Times Special Reports Calendar</x:v>
      </x:c>
      <x:c r="C3" s="65" t="str">
        <x:v>Financial Times</x:v>
      </x:c>
      <x:c r="D3" s="65" t="str">
        <x:v>ranking_publisher</x:v>
      </x:c>
      <x:c r="E3" s="65" t="str">
        <x:v>official_schedule</x:v>
      </x:c>
      <x:c r="F3" s="65" t="str">
        <x:v>public_http</x:v>
      </x:c>
      <x:c r="G3" s="65" t="str">
        <x:v>weekly</x:v>
      </x:c>
      <x:c r="H3" s="65" t="n">
        <x:v>5</x:v>
      </x:c>
      <x:c r="I3" s="66" t="b">
        <x:v>1</x:v>
      </x:c>
      <x:c r="J3" s="67" t="n">
        <x:v>46252</x:v>
      </x:c>
      <x:c r="K3" s="65" t="str">
        <x:v>https://commercial.ft.com/special-reports-calendar/</x:v>
      </x:c>
      <x:c r="L3" s="65" t="str">
        <x:v>The calendar describes planned publication dates as provisional.</x:v>
      </x:c>
    </x:row>
    <x:row r="4" ht="38" customHeight="1">
      <x:c r="A4" s="65" t="str">
        <x:v>src_ft_methodology</x:v>
      </x:c>
      <x:c r="B4" s="65" t="str">
        <x:v>Financial Times Rankings Methodology Hub</x:v>
      </x:c>
      <x:c r="C4" s="65" t="str">
        <x:v>Financial Times</x:v>
      </x:c>
      <x:c r="D4" s="65" t="str">
        <x:v>ranking_publisher</x:v>
      </x:c>
      <x:c r="E4" s="65" t="str">
        <x:v>primary_rule</x:v>
      </x:c>
      <x:c r="F4" s="65" t="str">
        <x:v>public_http</x:v>
      </x:c>
      <x:c r="G4" s="65" t="str">
        <x:v>weekly</x:v>
      </x:c>
      <x:c r="H4" s="65" t="n">
        <x:v>5</x:v>
      </x:c>
      <x:c r="I4" s="66" t="b">
        <x:v>1</x:v>
      </x:c>
      <x:c r="J4" s="67" t="n">
        <x:v>46252</x:v>
      </x:c>
      <x:c r="K4" s="65" t="str">
        <x:v>https://rankings.ft.com/methodology</x:v>
      </x:c>
      <x:c r="L4" s="65" t="str">
        <x:v>Individual methodology articles may be published outside the hub and should also be monitored.</x:v>
      </x:c>
    </x:row>
    <x:row r="5" ht="38" customHeight="1">
      <x:c r="A5" s="65" t="str">
        <x:v>src_ft_mba_2026</x:v>
      </x:c>
      <x:c r="B5" s="65" t="str">
        <x:v>Financial Times MBA 2026 Results</x:v>
      </x:c>
      <x:c r="C5" s="65" t="str">
        <x:v>Financial Times</x:v>
      </x:c>
      <x:c r="D5" s="65" t="str">
        <x:v>ranking_publisher</x:v>
      </x:c>
      <x:c r="E5" s="65" t="str">
        <x:v>primary_result</x:v>
      </x:c>
      <x:c r="F5" s="65" t="str">
        <x:v>public_http</x:v>
      </x:c>
      <x:c r="G5" s="65" t="str">
        <x:v>monthly</x:v>
      </x:c>
      <x:c r="H5" s="65" t="n">
        <x:v>5</x:v>
      </x:c>
      <x:c r="I5" s="66" t="b">
        <x:v>1</x:v>
      </x:c>
      <x:c r="J5" s="67" t="n">
        <x:v>46252</x:v>
      </x:c>
      <x:c r="K5" s="65" t="str">
        <x:v>https://rankings.ft.com/rankings/3006/mba-2026</x:v>
      </x:c>
      <x:c r="L5" s="65" t="str">
        <x:v>Result-page access and visible fields can vary by region or session.</x:v>
      </x:c>
    </x:row>
    <x:row r="6" ht="38" customHeight="1">
      <x:c r="A6" s="65" t="str">
        <x:v>src_ft_emba_2025</x:v>
      </x:c>
      <x:c r="B6" s="65" t="str">
        <x:v>Financial Times EMBA 2025 Results</x:v>
      </x:c>
      <x:c r="C6" s="65" t="str">
        <x:v>Financial Times</x:v>
      </x:c>
      <x:c r="D6" s="65" t="str">
        <x:v>ranking_publisher</x:v>
      </x:c>
      <x:c r="E6" s="65" t="str">
        <x:v>primary_result</x:v>
      </x:c>
      <x:c r="F6" s="65" t="str">
        <x:v>public_http</x:v>
      </x:c>
      <x:c r="G6" s="65" t="str">
        <x:v>monthly</x:v>
      </x:c>
      <x:c r="H6" s="65" t="n">
        <x:v>5</x:v>
      </x:c>
      <x:c r="I6" s="66" t="b">
        <x:v>1</x:v>
      </x:c>
      <x:c r="J6" s="67" t="n">
        <x:v>46252</x:v>
      </x:c>
      <x:c r="K6" s="65" t="str">
        <x:v>https://rankings.ft.com/rankings/3005/emba-2025</x:v>
      </x:c>
      <x:c r="L6" s="65"/>
    </x:row>
    <x:row r="7" ht="38" customHeight="1">
      <x:c r="A7" s="65" t="str">
        <x:v>src_ft50_2026</x:v>
      </x:c>
      <x:c r="B7" s="65" t="str">
        <x:v>Financial Times FT50 Journal List Update</x:v>
      </x:c>
      <x:c r="C7" s="65" t="str">
        <x:v>Financial Times</x:v>
      </x:c>
      <x:c r="D7" s="65" t="str">
        <x:v>ranking_publisher</x:v>
      </x:c>
      <x:c r="E7" s="65" t="str">
        <x:v>primary_rule</x:v>
      </x:c>
      <x:c r="F7" s="65" t="str">
        <x:v>public_http</x:v>
      </x:c>
      <x:c r="G7" s="65" t="str">
        <x:v>monthly</x:v>
      </x:c>
      <x:c r="H7" s="65" t="n">
        <x:v>5</x:v>
      </x:c>
      <x:c r="I7" s="66" t="b">
        <x:v>1</x:v>
      </x:c>
      <x:c r="J7" s="67" t="n">
        <x:v>46252</x:v>
      </x:c>
      <x:c r="K7" s="65" t="str">
        <x:v>https://www.ft.com/content/db863a0a-6524-45f9-bc52-fee997634bdc</x:v>
      </x:c>
      <x:c r="L7" s="65" t="str">
        <x:v>The article explains use of the revised list in specified FT rankings; implementation details still require the relevant annual methodology.</x:v>
      </x:c>
    </x:row>
    <x:row r="8" ht="38" customHeight="1">
      <x:c r="A8" s="65" t="str">
        <x:v>src_qs_cycle_2027</x:v>
      </x:c>
      <x:c r="B8" s="65" t="str">
        <x:v>QS Graduate Management Education Rankings Cycle 2027</x:v>
      </x:c>
      <x:c r="C8" s="65" t="str">
        <x:v>QS</x:v>
      </x:c>
      <x:c r="D8" s="65" t="str">
        <x:v>ranking_publisher</x:v>
      </x:c>
      <x:c r="E8" s="65" t="str">
        <x:v>official_schedule_and_rule</x:v>
      </x:c>
      <x:c r="F8" s="65" t="str">
        <x:v>public_http</x:v>
      </x:c>
      <x:c r="G8" s="65" t="str">
        <x:v>weekly</x:v>
      </x:c>
      <x:c r="H8" s="65" t="n">
        <x:v>5</x:v>
      </x:c>
      <x:c r="I8" s="66" t="b">
        <x:v>1</x:v>
      </x:c>
      <x:c r="J8" s="67" t="n">
        <x:v>46252</x:v>
      </x:c>
      <x:c r="K8" s="65" t="str">
        <x:v>https://support.qs.com/hc/en-gb/articles/6742129778588-QS-Graduate-Management-Education-GME-Rankings-Cycle-2027</x:v>
      </x:c>
      <x:c r="L8" s="65" t="str">
        <x:v>Some dates are expressed only as months or approximate mid-month windows.</x:v>
      </x:c>
    </x:row>
    <x:row r="9" ht="38" customHeight="1">
      <x:c r="A9" s="65" t="str">
        <x:v>src_qs_mba_methodology</x:v>
      </x:c>
      <x:c r="B9" s="65" t="str">
        <x:v>QS Global MBA Rankings Methodology</x:v>
      </x:c>
      <x:c r="C9" s="65" t="str">
        <x:v>QS</x:v>
      </x:c>
      <x:c r="D9" s="65" t="str">
        <x:v>ranking_publisher</x:v>
      </x:c>
      <x:c r="E9" s="65" t="str">
        <x:v>primary_rule</x:v>
      </x:c>
      <x:c r="F9" s="65" t="str">
        <x:v>public_http</x:v>
      </x:c>
      <x:c r="G9" s="65" t="str">
        <x:v>monthly</x:v>
      </x:c>
      <x:c r="H9" s="65" t="n">
        <x:v>5</x:v>
      </x:c>
      <x:c r="I9" s="66" t="b">
        <x:v>1</x:v>
      </x:c>
      <x:c r="J9" s="67" t="n">
        <x:v>46252</x:v>
      </x:c>
      <x:c r="K9" s="65" t="str">
        <x:v>https://www.topmba.com/mba-rankings/methodology</x:v>
      </x:c>
      <x:c r="L9" s="65" t="str">
        <x:v>Methodology webpages can be updated without a versioned PDF; store snapshots in production.</x:v>
      </x:c>
    </x:row>
    <x:row r="10" ht="38" customHeight="1">
      <x:c r="A10" s="65" t="str">
        <x:v>src_qs_mba_results_2026</x:v>
      </x:c>
      <x:c r="B10" s="65" t="str">
        <x:v>QS Global MBA Rankings 2026</x:v>
      </x:c>
      <x:c r="C10" s="65" t="str">
        <x:v>QS</x:v>
      </x:c>
      <x:c r="D10" s="65" t="str">
        <x:v>ranking_publisher</x:v>
      </x:c>
      <x:c r="E10" s="65" t="str">
        <x:v>primary_result</x:v>
      </x:c>
      <x:c r="F10" s="65" t="str">
        <x:v>public_http</x:v>
      </x:c>
      <x:c r="G10" s="65" t="str">
        <x:v>monthly</x:v>
      </x:c>
      <x:c r="H10" s="65" t="n">
        <x:v>5</x:v>
      </x:c>
      <x:c r="I10" s="66" t="b">
        <x:v>1</x:v>
      </x:c>
      <x:c r="J10" s="67" t="n">
        <x:v>46252</x:v>
      </x:c>
      <x:c r="K10" s="65" t="str">
        <x:v>https://www.topuniversities.com/mba-rankings</x:v>
      </x:c>
      <x:c r="L10" s="65" t="str">
        <x:v>The uploaded QS export is used for reproducible component-level analysis.</x:v>
      </x:c>
    </x:row>
    <x:row r="11" ht="38" customHeight="1">
      <x:c r="A11" s="65" t="str">
        <x:v>src_qs_mim_results_2026</x:v>
      </x:c>
      <x:c r="B11" s="65" t="str">
        <x:v>QS Business Master's Rankings 2026: Management</x:v>
      </x:c>
      <x:c r="C11" s="65" t="str">
        <x:v>QS</x:v>
      </x:c>
      <x:c r="D11" s="65" t="str">
        <x:v>ranking_publisher</x:v>
      </x:c>
      <x:c r="E11" s="65" t="str">
        <x:v>primary_result</x:v>
      </x:c>
      <x:c r="F11" s="65" t="str">
        <x:v>public_http</x:v>
      </x:c>
      <x:c r="G11" s="65" t="str">
        <x:v>monthly</x:v>
      </x:c>
      <x:c r="H11" s="65" t="n">
        <x:v>5</x:v>
      </x:c>
      <x:c r="I11" s="66" t="b">
        <x:v>1</x:v>
      </x:c>
      <x:c r="J11" s="67" t="n">
        <x:v>46252</x:v>
      </x:c>
      <x:c r="K11" s="65" t="str">
        <x:v>https://www.topuniversities.com/business-masters-rankings/management</x:v>
      </x:c>
      <x:c r="L11" s="65" t="str">
        <x:v>The uploaded QS export is used for reproducible component-level analysis.</x:v>
      </x:c>
    </x:row>
    <x:row r="12" ht="38" customHeight="1">
      <x:c r="A12" s="65" t="str">
        <x:v>src_aacsb_standards</x:v>
      </x:c>
      <x:c r="B12" s="65" t="str">
        <x:v>AACSB Global Standards</x:v>
      </x:c>
      <x:c r="C12" s="65" t="str">
        <x:v>AACSB International</x:v>
      </x:c>
      <x:c r="D12" s="65" t="str">
        <x:v>accreditor</x:v>
      </x:c>
      <x:c r="E12" s="65" t="str">
        <x:v>primary_rule</x:v>
      </x:c>
      <x:c r="F12" s="65" t="str">
        <x:v>public_http</x:v>
      </x:c>
      <x:c r="G12" s="65" t="str">
        <x:v>monthly</x:v>
      </x:c>
      <x:c r="H12" s="65" t="n">
        <x:v>5</x:v>
      </x:c>
      <x:c r="I12" s="66" t="b">
        <x:v>1</x:v>
      </x:c>
      <x:c r="J12" s="67" t="n">
        <x:v>46252</x:v>
      </x:c>
      <x:c r="K12" s="65" t="str">
        <x:v>https://www.aacsb.edu/educators/global-standards</x:v>
      </x:c>
      <x:c r="L12" s="65" t="str">
        <x:v>Implementation timing and transition arrangements must be verified in AACSB guidance and the school portal.</x:v>
      </x:c>
    </x:row>
    <x:row r="13" ht="38" customHeight="1">
      <x:c r="A13" s="65" t="str">
        <x:v>src_aacsb_ratification_2026</x:v>
      </x:c>
      <x:c r="B13" s="65" t="str">
        <x:v>AACSB Announces Ratification of 2026 Global Standards</x:v>
      </x:c>
      <x:c r="C13" s="65" t="str">
        <x:v>AACSB International</x:v>
      </x:c>
      <x:c r="D13" s="65" t="str">
        <x:v>accreditor</x:v>
      </x:c>
      <x:c r="E13" s="65" t="str">
        <x:v>official_announcement</x:v>
      </x:c>
      <x:c r="F13" s="65" t="str">
        <x:v>public_http</x:v>
      </x:c>
      <x:c r="G13" s="65" t="str">
        <x:v>monthly</x:v>
      </x:c>
      <x:c r="H13" s="65" t="n">
        <x:v>5</x:v>
      </x:c>
      <x:c r="I13" s="66" t="b">
        <x:v>1</x:v>
      </x:c>
      <x:c r="J13" s="67" t="n">
        <x:v>46252</x:v>
      </x:c>
      <x:c r="K13" s="65" t="str">
        <x:v>https://www.aacsb.edu/media-center/news/2026/04/global-standards-ratification</x:v>
      </x:c>
      <x:c r="L13" s="65"/>
    </x:row>
    <x:row r="14" ht="38" customHeight="1">
      <x:c r="A14" s="65" t="str">
        <x:v>src_equis_docs</x:v>
      </x:c>
      <x:c r="B14" s="65" t="str">
        <x:v>EQUIS Guides and Documents</x:v>
      </x:c>
      <x:c r="C14" s="65" t="str">
        <x:v>EFMD Global</x:v>
      </x:c>
      <x:c r="D14" s="65" t="str">
        <x:v>accreditor</x:v>
      </x:c>
      <x:c r="E14" s="65" t="str">
        <x:v>primary_rule_index</x:v>
      </x:c>
      <x:c r="F14" s="65" t="str">
        <x:v>public_http</x:v>
      </x:c>
      <x:c r="G14" s="65" t="str">
        <x:v>monthly</x:v>
      </x:c>
      <x:c r="H14" s="65" t="n">
        <x:v>5</x:v>
      </x:c>
      <x:c r="I14" s="66" t="b">
        <x:v>1</x:v>
      </x:c>
      <x:c r="J14" s="67" t="n">
        <x:v>46252</x:v>
      </x:c>
      <x:c r="K14" s="65" t="str">
        <x:v>https://www.efmdglobal.org/accreditations-assessments/business-schools/equis/equis-guides-documents/</x:v>
      </x:c>
      <x:c r="L14" s="65" t="str">
        <x:v>Production monitoring should archive each versioned PDF, not only the index page.</x:v>
      </x:c>
    </x:row>
    <x:row r="15" ht="38" customHeight="1">
      <x:c r="A15" s="65" t="str">
        <x:v>src_equis_2026_pdf</x:v>
      </x:c>
      <x:c r="B15" s="65" t="str">
        <x:v>EQUIS Standards and Criteria 2026</x:v>
      </x:c>
      <x:c r="C15" s="65" t="str">
        <x:v>EFMD Global</x:v>
      </x:c>
      <x:c r="D15" s="65" t="str">
        <x:v>accreditor</x:v>
      </x:c>
      <x:c r="E15" s="65" t="str">
        <x:v>primary_rule</x:v>
      </x:c>
      <x:c r="F15" s="65" t="str">
        <x:v>public_http</x:v>
      </x:c>
      <x:c r="G15" s="65" t="str">
        <x:v>monthly</x:v>
      </x:c>
      <x:c r="H15" s="65" t="n">
        <x:v>5</x:v>
      </x:c>
      <x:c r="I15" s="66" t="b">
        <x:v>1</x:v>
      </x:c>
      <x:c r="J15" s="67" t="n">
        <x:v>46252</x:v>
      </x:c>
      <x:c r="K15" s="65" t="str">
        <x:v>https://www.efmdglobal.org/wp-content/uploads/EQUIS_Standards_and_Criteria.pdf</x:v>
      </x:c>
      <x:c r="L15" s="65" t="str">
        <x:v>The unversioned file path can be overwritten; archive the retrieved document and hash.</x:v>
      </x:c>
    </x:row>
    <x:row r="16" ht="38" customHeight="1">
      <x:c r="A16" s="65" t="str">
        <x:v>src_equis_2025_pdf</x:v>
      </x:c>
      <x:c r="B16" s="65" t="str">
        <x:v>EQUIS Standards and Criteria 2025</x:v>
      </x:c>
      <x:c r="C16" s="65" t="str">
        <x:v>EFMD Global</x:v>
      </x:c>
      <x:c r="D16" s="65" t="str">
        <x:v>accreditor</x:v>
      </x:c>
      <x:c r="E16" s="65" t="str">
        <x:v>primary_rule</x:v>
      </x:c>
      <x:c r="F16" s="65" t="str">
        <x:v>public_http</x:v>
      </x:c>
      <x:c r="G16" s="65" t="str">
        <x:v>archived_baseline</x:v>
      </x:c>
      <x:c r="H16" s="65" t="n">
        <x:v>5</x:v>
      </x:c>
      <x:c r="I16" s="66" t="b">
        <x:v>1</x:v>
      </x:c>
      <x:c r="J16" s="67" t="n">
        <x:v>46252</x:v>
      </x:c>
      <x:c r="K16" s="65" t="str">
        <x:v>https://www.efmdglobal.org/wp-content/uploads/EQUIS-Standards-and-Criteria-2025.pdf</x:v>
      </x:c>
      <x:c r="L16" s="65"/>
    </x:row>
    <x:row r="17" ht="38" customHeight="1">
      <x:c r="A17" s="65" t="str">
        <x:v>src_esmt_degree_rankings</x:v>
      </x:c>
      <x:c r="B17" s="65" t="str">
        <x:v>ESMT Degree Rankings</x:v>
      </x:c>
      <x:c r="C17" s="65" t="str">
        <x:v>ESMT Berlin</x:v>
      </x:c>
      <x:c r="D17" s="65" t="str">
        <x:v>school_website</x:v>
      </x:c>
      <x:c r="E17" s="65" t="str">
        <x:v>official_school_claim</x:v>
      </x:c>
      <x:c r="F17" s="65" t="str">
        <x:v>public_http</x:v>
      </x:c>
      <x:c r="G17" s="65" t="str">
        <x:v>weekly</x:v>
      </x:c>
      <x:c r="H17" s="65" t="n">
        <x:v>4</x:v>
      </x:c>
      <x:c r="I17" s="66" t="b">
        <x:v>1</x:v>
      </x:c>
      <x:c r="J17" s="67" t="n">
        <x:v>46252</x:v>
      </x:c>
      <x:c r="K17" s="65" t="str">
        <x:v>https://esmt.berlin/degrees/degree-rankings</x:v>
      </x:c>
      <x:c r="L17" s="65" t="str">
        <x:v>Use the ranking publisher as the final authority for year, rank, and methodology.</x:v>
      </x:c>
    </x:row>
    <x:row r="18" ht="38" customHeight="1">
      <x:c r="A18" s="65" t="str">
        <x:v>src_esmt_accreditation_rankings</x:v>
      </x:c>
      <x:c r="B18" s="65" t="str">
        <x:v>ESMT Accreditation and Rankings</x:v>
      </x:c>
      <x:c r="C18" s="65" t="str">
        <x:v>ESMT Berlin</x:v>
      </x:c>
      <x:c r="D18" s="65" t="str">
        <x:v>school_website</x:v>
      </x:c>
      <x:c r="E18" s="65" t="str">
        <x:v>official_school_claim</x:v>
      </x:c>
      <x:c r="F18" s="65" t="str">
        <x:v>public_http</x:v>
      </x:c>
      <x:c r="G18" s="65" t="str">
        <x:v>weekly</x:v>
      </x:c>
      <x:c r="H18" s="65" t="n">
        <x:v>4</x:v>
      </x:c>
      <x:c r="I18" s="66" t="b">
        <x:v>1</x:v>
      </x:c>
      <x:c r="J18" s="67" t="n">
        <x:v>46252</x:v>
      </x:c>
      <x:c r="K18" s="65" t="str">
        <x:v>https://esmt.berlin/about/accreditation-and-rankings</x:v>
      </x:c>
      <x:c r="L18" s="65" t="str">
        <x:v>Use the ranking publisher as the final authority for year, rank, and methodology.</x:v>
      </x:c>
    </x:row>
    <x:row r="19" ht="38" customHeight="1">
      <x:c r="A19" s="65" t="str">
        <x:v>src_qs_workbook_2024</x:v>
      </x:c>
      <x:c r="B19" s="65" t="str">
        <x:v>2024 QS Global MBA Rankings Results Export</x:v>
      </x:c>
      <x:c r="C19" s="65" t="str">
        <x:v>QS</x:v>
      </x:c>
      <x:c r="D19" s="65" t="str">
        <x:v>ranking_publisher_export</x:v>
      </x:c>
      <x:c r="E19" s="65" t="str">
        <x:v>primary_result_export</x:v>
      </x:c>
      <x:c r="F19" s="65" t="str">
        <x:v>local_attachment</x:v>
      </x:c>
      <x:c r="G19" s="65" t="str">
        <x:v>annual</x:v>
      </x:c>
      <x:c r="H19" s="65" t="n">
        <x:v>5</x:v>
      </x:c>
      <x:c r="I19" s="66" t="b">
        <x:v>1</x:v>
      </x:c>
      <x:c r="J19" s="67" t="n">
        <x:v>46252</x:v>
      </x:c>
      <x:c r="K19" s="65" t="str">
        <x:v>https://www.topuniversities.com/mba-rankings</x:v>
      </x:c>
      <x:c r="L19" s="65" t="str">
        <x:v>Confirm redistribution rights before sharing the raw export outside ESMT.</x:v>
      </x:c>
    </x:row>
    <x:row r="20" ht="38" customHeight="1">
      <x:c r="A20" s="65" t="str">
        <x:v>src_qs_workbook_2025</x:v>
      </x:c>
      <x:c r="B20" s="65" t="str">
        <x:v>2025 QS Global MBA and Business Masters Results Export</x:v>
      </x:c>
      <x:c r="C20" s="65" t="str">
        <x:v>QS</x:v>
      </x:c>
      <x:c r="D20" s="65" t="str">
        <x:v>ranking_publisher_export</x:v>
      </x:c>
      <x:c r="E20" s="65" t="str">
        <x:v>primary_result_export</x:v>
      </x:c>
      <x:c r="F20" s="65" t="str">
        <x:v>local_attachment</x:v>
      </x:c>
      <x:c r="G20" s="65" t="str">
        <x:v>annual</x:v>
      </x:c>
      <x:c r="H20" s="65" t="n">
        <x:v>5</x:v>
      </x:c>
      <x:c r="I20" s="66" t="b">
        <x:v>1</x:v>
      </x:c>
      <x:c r="J20" s="67" t="n">
        <x:v>46252</x:v>
      </x:c>
      <x:c r="K20" s="65" t="str">
        <x:v>https://www.topuniversities.com/mba-rankings</x:v>
      </x:c>
      <x:c r="L20" s="65" t="str">
        <x:v>Confirm redistribution rights before sharing the raw export outside ESMT.</x:v>
      </x:c>
    </x:row>
    <x:row r="21" ht="38" customHeight="1">
      <x:c r="A21" s="65" t="str">
        <x:v>src_qs_workbook_2026</x:v>
      </x:c>
      <x:c r="B21" s="65" t="str">
        <x:v>2026 QS Global MBA and Business Masters Results Export</x:v>
      </x:c>
      <x:c r="C21" s="65" t="str">
        <x:v>QS</x:v>
      </x:c>
      <x:c r="D21" s="65" t="str">
        <x:v>ranking_publisher_export</x:v>
      </x:c>
      <x:c r="E21" s="65" t="str">
        <x:v>primary_result_export</x:v>
      </x:c>
      <x:c r="F21" s="65" t="str">
        <x:v>local_attachment</x:v>
      </x:c>
      <x:c r="G21" s="65" t="str">
        <x:v>annual</x:v>
      </x:c>
      <x:c r="H21" s="65" t="n">
        <x:v>5</x:v>
      </x:c>
      <x:c r="I21" s="66" t="b">
        <x:v>1</x:v>
      </x:c>
      <x:c r="J21" s="67" t="n">
        <x:v>46252</x:v>
      </x:c>
      <x:c r="K21" s="65" t="str">
        <x:v>https://www.topuniversities.com/mba-rankings</x:v>
      </x:c>
      <x:c r="L21" s="65" t="str">
        <x:v>Confirm redistribution rights before sharing the raw export outside ESMT.</x:v>
      </x:c>
    </x:row>
    <x:row r="22" ht="38" customHeight="1">
      <x:c r="A22" s="65" t="str">
        <x:v>src_ft_ebs_2025_export</x:v>
      </x:c>
      <x:c r="B22" s="65" t="str">
        <x:v>FT European Business School Rankings 2025 Export</x:v>
      </x:c>
      <x:c r="C22" s="65" t="str">
        <x:v>Financial Times</x:v>
      </x:c>
      <x:c r="D22" s="65" t="str">
        <x:v>ranking_publisher_export</x:v>
      </x:c>
      <x:c r="E22" s="65" t="str">
        <x:v>primary_result_export</x:v>
      </x:c>
      <x:c r="F22" s="65" t="str">
        <x:v>local_attachment</x:v>
      </x:c>
      <x:c r="G22" s="65" t="str">
        <x:v>annual</x:v>
      </x:c>
      <x:c r="H22" s="65" t="n">
        <x:v>5</x:v>
      </x:c>
      <x:c r="I22" s="66" t="b">
        <x:v>1</x:v>
      </x:c>
      <x:c r="J22" s="67" t="n">
        <x:v>46252</x:v>
      </x:c>
      <x:c r="K22" s="65" t="str">
        <x:v>https://rankings.ft.com/business-education/european-business-school-rankings</x:v>
      </x:c>
      <x:c r="L22" s="65" t="str">
        <x:v>Confirm redistribution rights before sharing the raw export outside ESMT.</x:v>
      </x:c>
    </x:row>
    <x:row r="23" ht="38" customHeight="1">
      <x:c r="A23" s="65" t="str">
        <x:v>src_ft_participant_portal</x:v>
      </x:c>
      <x:c r="B23" s="65" t="str">
        <x:v>FT Participant Portal and Direct Communications</x:v>
      </x:c>
      <x:c r="C23" s="65" t="str">
        <x:v>Financial Times</x:v>
      </x:c>
      <x:c r="D23" s="65" t="str">
        <x:v>ranking_publisher_private</x:v>
      </x:c>
      <x:c r="E23" s="65" t="str">
        <x:v>private_operational_source</x:v>
      </x:c>
      <x:c r="F23" s="65" t="str">
        <x:v>manual_private</x:v>
      </x:c>
      <x:c r="G23" s="65" t="str">
        <x:v>per_working_day_in_submission_window</x:v>
      </x:c>
      <x:c r="H23" s="65" t="n">
        <x:v>5</x:v>
      </x:c>
      <x:c r="I23" s="66" t="b">
        <x:v>0</x:v>
      </x:c>
      <x:c r="J23" s="67"/>
      <x:c r="K23" s="65"/>
      <x:c r="L23" s="65" t="str">
        <x:v>Requires authorised ESMT access; do not expose credentials or private materials to the public app.</x:v>
      </x:c>
    </x:row>
    <x:row r="24" ht="38" customHeight="1">
      <x:c r="A24" s="65" t="str">
        <x:v>src_qs_movein</x:v>
      </x:c>
      <x:c r="B24" s="65" t="str">
        <x:v>QS MoveIN and Direct Communications</x:v>
      </x:c>
      <x:c r="C24" s="65" t="str">
        <x:v>QS</x:v>
      </x:c>
      <x:c r="D24" s="65" t="str">
        <x:v>ranking_publisher_private</x:v>
      </x:c>
      <x:c r="E24" s="65" t="str">
        <x:v>private_operational_source</x:v>
      </x:c>
      <x:c r="F24" s="65" t="str">
        <x:v>manual_private</x:v>
      </x:c>
      <x:c r="G24" s="65" t="str">
        <x:v>per_working_day_in_submission_window</x:v>
      </x:c>
      <x:c r="H24" s="65" t="n">
        <x:v>5</x:v>
      </x:c>
      <x:c r="I24" s="66" t="b">
        <x:v>0</x:v>
      </x:c>
      <x:c r="J24" s="67"/>
      <x:c r="K24" s="65"/>
      <x:c r="L24" s="65" t="str">
        <x:v>Requires authorised ESMT access; do not expose credentials or submission data to the public app.</x:v>
      </x:c>
    </x:row>
    <x:row r="25" ht="38" customHeight="1">
      <x:c r="A25" s="65" t="str">
        <x:v>src_esmt_internal_calendar</x:v>
      </x:c>
      <x:c r="B25" s="65" t="str">
        <x:v>ESMT Internal Ranking Calendar and Evidence Register</x:v>
      </x:c>
      <x:c r="C25" s="65" t="str">
        <x:v>ESMT Berlin</x:v>
      </x:c>
      <x:c r="D25" s="65" t="str">
        <x:v>internal</x:v>
      </x:c>
      <x:c r="E25" s="65" t="str">
        <x:v>internal_operational_source</x:v>
      </x:c>
      <x:c r="F25" s="65" t="str">
        <x:v>manual_private</x:v>
      </x:c>
      <x:c r="G25" s="65" t="str">
        <x:v>continuous</x:v>
      </x:c>
      <x:c r="H25" s="65" t="n">
        <x:v>5</x:v>
      </x:c>
      <x:c r="I25" s="66" t="b">
        <x:v>0</x:v>
      </x:c>
      <x:c r="J25" s="67"/>
      <x:c r="K25" s="65"/>
      <x:c r="L25" s="65" t="str">
        <x:v>Production source only. Apply role-based access, retention, and personal-data controls.</x:v>
      </x:c>
    </x:row>
  </x:sheetData>
  <x:mergeCells>
    <x:mergeCell ref="A1:L1"/>
  </x:mergeCells>
  <x:conditionalFormatting sqref="F3:F25">
    <x:cfRule type="containsText" dxfId="1" priority="1" operator="containsText" text="manual_private"/>
  </x:conditionalFormatting>
  <x:conditionalFormatting sqref="I3:I25">
    <x:cfRule type="cellIs" dxfId="2" priority="2" operator="equal">
      <x:formula>0</x:formula>
    </x:cfRule>
  </x:conditionalFormatting>
  <x:pageMargins left="0.7" right="0.7" top="0.75" bottom="0.75" header="0.3" footer="0.3"/>
  <x:tableParts count="1">
    <x:tablePart xmlns:r="http://schemas.openxmlformats.org/officeDocument/2006/relationships" r:id="R5f50e518f118421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58" hidden="0" customWidth="1"/>
    <x:col min="4" max="4" width="4" hidden="0" customWidth="1"/>
    <x:col min="5" max="5" width="20" hidden="0" customWidth="1"/>
    <x:col min="6" max="6" width="20" hidden="0" customWidth="1"/>
  </x:cols>
  <x:sheetData>
    <x:row r="1" ht="34" customHeight="1">
      <x:c r="A1" s="3" t="str">
        <x:v>Scoring Governance — Prototype v1</x:v>
      </x:c>
      <x:c r="B1" s="3" t="str">
        <x:v>Scoring Governance — Prototype v1</x:v>
      </x:c>
      <x:c r="C1" s="3" t="str">
        <x:v>Scoring Governance — Prototype v1</x:v>
      </x:c>
      <x:c r="D1" s="3" t="str">
        <x:v>Scoring Governance — Prototype v1</x:v>
      </x:c>
      <x:c r="E1" s="3" t="str">
        <x:v>Scoring Governance — Prototype v1</x:v>
      </x:c>
      <x:c r="F1" s="3" t="str">
        <x:v>Scoring Governance — Prototype v1</x:v>
      </x:c>
      <x:c r="G1" s="3" t="str">
        <x:v>Scoring Governance — Prototype v1</x:v>
      </x:c>
    </x:row>
    <x:row r="3">
      <x:c r="A3" s="68" t="str">
        <x:v>This is a configurable management rule, not a predictive model. Production requires approval, versioning, override reasons, and periodic back-testing against real actions.</x:v>
      </x:c>
      <x:c r="B3" s="68"/>
      <x:c r="C3" s="68"/>
      <x:c r="D3" s="68"/>
      <x:c r="E3" s="68"/>
      <x:c r="F3" s="68"/>
      <x:c r="G3" s="68"/>
    </x:row>
    <x:row r="4">
      <x:c r="A4" s="68"/>
      <x:c r="B4" s="68"/>
      <x:c r="C4" s="68"/>
      <x:c r="D4" s="68"/>
      <x:c r="E4" s="68"/>
      <x:c r="F4" s="68"/>
      <x:c r="G4" s="68"/>
    </x:row>
    <x:row r="6" ht="30" customHeight="1">
      <x:c r="A6" s="34" t="str">
        <x:v>Dimension</x:v>
      </x:c>
      <x:c r="B6" s="40" t="str">
        <x:v>Weight</x:v>
      </x:c>
      <x:c r="C6" s="35" t="str">
        <x:v>Review question</x:v>
      </x:c>
      <x:c r="E6" s="34" t="str">
        <x:v>Priority band</x:v>
      </x:c>
      <x:c r="F6" s="35" t="str">
        <x:v>Minimum score</x:v>
      </x:c>
    </x:row>
    <x:row r="7">
      <x:c r="A7" s="36" t="str">
        <x:v>Strategic impact</x:v>
      </x:c>
      <x:c r="B7" s="69" t="n">
        <x:v>30</x:v>
      </x:c>
      <x:c r="C7" s="37" t="str">
        <x:v>Could this materially affect eligibility, position, accreditation, or trust?</x:v>
      </x:c>
      <x:c r="E7" s="36" t="str">
        <x:v>Act now</x:v>
      </x:c>
      <x:c r="F7" s="37" t="n">
        <x:v>75</x:v>
      </x:c>
    </x:row>
    <x:row r="8">
      <x:c r="A8" s="36" t="str">
        <x:v>Urgency</x:v>
      </x:c>
      <x:c r="B8" s="69" t="n">
        <x:v>25</x:v>
      </x:c>
      <x:c r="C8" s="37" t="str">
        <x:v>How soon does the response window start or close?</x:v>
      </x:c>
      <x:c r="E8" s="36" t="str">
        <x:v>Plan</x:v>
      </x:c>
      <x:c r="F8" s="37" t="n">
        <x:v>55</x:v>
      </x:c>
    </x:row>
    <x:row r="9">
      <x:c r="A9" s="36" t="str">
        <x:v>Actionability</x:v>
      </x:c>
      <x:c r="B9" s="69" t="n">
        <x:v>20</x:v>
      </x:c>
      <x:c r="C9" s="37" t="str">
        <x:v>Can ESMT take a concrete action?</x:v>
      </x:c>
      <x:c r="E9" s="36" t="str">
        <x:v>Monitor</x:v>
      </x:c>
      <x:c r="F9" s="37" t="n">
        <x:v>35</x:v>
      </x:c>
    </x:row>
    <x:row r="10">
      <x:c r="A10" s="36" t="str">
        <x:v>ESMT relevance</x:v>
      </x:c>
      <x:c r="B10" s="69" t="n">
        <x:v>15</x:v>
      </x:c>
      <x:c r="C10" s="37" t="str">
        <x:v>Is the exposed programme or process material to ESMT?</x:v>
      </x:c>
      <x:c r="E10" s="38" t="str">
        <x:v>Archive</x:v>
      </x:c>
      <x:c r="F10" s="39" t="n">
        <x:v>0</x:v>
      </x:c>
    </x:row>
    <x:row r="11">
      <x:c r="A11" s="36" t="str">
        <x:v>Evidence confidence</x:v>
      </x:c>
      <x:c r="B11" s="69" t="n">
        <x:v>10</x:v>
      </x:c>
      <x:c r="C11" s="37" t="str">
        <x:v>How authoritative, precise, and reproducible is the evidence?</x:v>
      </x:c>
    </x:row>
    <x:row r="12">
      <x:c r="A12" s="38" t="str">
        <x:v>Weight check</x:v>
      </x:c>
      <x:c r="B12" s="73" t="n">
        <x:f>SUM(B7:B11)</x:f>
        <x:v>100</x:v>
      </x:c>
      <x:c r="C12" s="39"/>
    </x:row>
    <x:row r="15">
      <x:c r="A15" s="72" t="str">
        <x:v>Formula: score = (impact×30 + urgency×25 + actionability×20 + relevance×15 + confidence×10) / 5. Each dimension is scored from 0 to 5. The Signals sheet recomputes every score and flags mismatches.</x:v>
      </x:c>
      <x:c r="B15" s="72"/>
      <x:c r="C15" s="72"/>
      <x:c r="D15" s="72"/>
      <x:c r="E15" s="72"/>
      <x:c r="F15" s="72"/>
      <x:c r="G15" s="72"/>
    </x:row>
    <x:row r="16">
      <x:c r="A16" s="72"/>
      <x:c r="B16" s="72"/>
      <x:c r="C16" s="72"/>
      <x:c r="D16" s="72"/>
      <x:c r="E16" s="72"/>
      <x:c r="F16" s="72"/>
      <x:c r="G16" s="72"/>
    </x:row>
    <x:row r="17">
      <x:c r="A17" s="72"/>
      <x:c r="B17" s="72"/>
      <x:c r="C17" s="72"/>
      <x:c r="D17" s="72"/>
      <x:c r="E17" s="72"/>
      <x:c r="F17" s="72"/>
      <x:c r="G17" s="72"/>
    </x:row>
  </x:sheetData>
  <x:mergeCells>
    <x:mergeCell ref="A1:G1"/>
    <x:mergeCell ref="A3:G4"/>
    <x:mergeCell ref="A15:G1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34"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48" hidden="0" customWidth="1"/>
  </x:cols>
  <x:sheetData>
    <x:row r="1" ht="34" customHeight="1">
      <x:c r="A1" s="3" t="str">
        <x:v>QS ESMT Trend and Selected German-Peer Diagnostics</x:v>
      </x:c>
      <x:c r="B1" s="3" t="str">
        <x:v>QS ESMT Trend and Selected German-Peer Diagnostics</x:v>
      </x:c>
      <x:c r="C1" s="3" t="str">
        <x:v>QS ESMT Trend and Selected German-Peer Diagnostics</x:v>
      </x:c>
      <x:c r="D1" s="3" t="str">
        <x:v>QS ESMT Trend and Selected German-Peer Diagnostics</x:v>
      </x:c>
      <x:c r="E1" s="3" t="str">
        <x:v>QS ESMT Trend and Selected German-Peer Diagnostics</x:v>
      </x:c>
      <x:c r="F1" s="3" t="str">
        <x:v>QS ESMT Trend and Selected German-Peer Diagnostics</x:v>
      </x:c>
      <x:c r="G1" s="3" t="str">
        <x:v>QS ESMT Trend and Selected German-Peer Diagnostics</x:v>
      </x:c>
      <x:c r="H1" s="3" t="str">
        <x:v>QS ESMT Trend and Selected German-Peer Diagnostics</x:v>
      </x:c>
      <x:c r="I1" s="3" t="str">
        <x:v>QS ESMT Trend and Selected German-Peer Diagnostics</x:v>
      </x:c>
      <x:c r="J1" s="3" t="str">
        <x:v>QS ESMT Trend and Selected German-Peer Diagnostics</x:v>
      </x:c>
      <x:c r="K1" s="3" t="str">
        <x:v>QS ESMT Trend and Selected German-Peer Diagnostics</x:v>
      </x:c>
      <x:c r="L1" s="3" t="str">
        <x:v>QS ESMT Trend and Selected German-Peer Diagnostics</x:v>
      </x:c>
      <x:c r="M1" s="3" t="str">
        <x:v>QS ESMT Trend and Selected German-Peer Diagnostics</x:v>
      </x:c>
      <x:c r="N1" s="3" t="str">
        <x:v>QS ESMT Trend and Selected German-Peer Diagnostics</x:v>
      </x:c>
    </x:row>
    <x:row r="3">
      <x:c r="A3" s="9" t="str">
        <x:v>Source: supplied official QS 2024–2026 result exports. Descriptive outputs do not establish causality. Rankings should be read together with score movement and cohort context.</x:v>
      </x:c>
      <x:c r="B3" s="9"/>
      <x:c r="C3" s="9"/>
      <x:c r="D3" s="9"/>
      <x:c r="E3" s="9"/>
      <x:c r="F3" s="9"/>
      <x:c r="G3" s="9"/>
      <x:c r="H3" s="9"/>
      <x:c r="I3" s="9"/>
      <x:c r="J3" s="9"/>
      <x:c r="K3" s="9"/>
      <x:c r="L3" s="9"/>
      <x:c r="M3" s="9"/>
      <x:c r="N3" s="9"/>
    </x:row>
    <x:row r="5" ht="30" customHeight="1">
      <x:c r="A5" s="33" t="str">
        <x:v>Ranking</x:v>
      </x:c>
      <x:c r="B5" s="33" t="str">
        <x:v>Edition</x:v>
      </x:c>
      <x:c r="C5" s="33" t="str">
        <x:v>Rank</x:v>
      </x:c>
      <x:c r="D5" s="33" t="str">
        <x:v>Overall</x:v>
      </x:c>
      <x:c r="E5" s="33" t="str">
        <x:v>Employability</x:v>
      </x:c>
      <x:c r="F5" s="33" t="str">
        <x:v>E&amp;A Outcomes</x:v>
      </x:c>
      <x:c r="G5" s="33" t="str">
        <x:v>ROI</x:v>
      </x:c>
      <x:c r="H5" s="33" t="str">
        <x:v>Thought Leadership</x:v>
      </x:c>
      <x:c r="I5" s="33" t="str">
        <x:v>Diversity</x:v>
      </x:c>
      <x:c r="J5" s="33" t="str">
        <x:v>Alumni Outcomes</x:v>
      </x:c>
      <x:c r="K5" s="33" t="str">
        <x:v>Value for Money</x:v>
      </x:c>
      <x:c r="L5" s="33" t="str">
        <x:v>Source File</x:v>
      </x:c>
    </x:row>
    <x:row r="6">
      <x:c r="A6" t="str">
        <x:v>QS Global MBA</x:v>
      </x:c>
      <x:c r="B6" t="n">
        <x:v>2024</x:v>
      </x:c>
      <x:c r="C6" s="57" t="n">
        <x:v>85</x:v>
      </x:c>
      <x:c r="D6" s="57" t="n">
        <x:v>57.6</x:v>
      </x:c>
      <x:c r="E6" s="57" t="n">
        <x:v>48.6</x:v>
      </x:c>
      <x:c r="F6" s="57" t="n">
        <x:v>32.9</x:v>
      </x:c>
      <x:c r="G6" s="57" t="n">
        <x:v>98.8</x:v>
      </x:c>
      <x:c r="H6" s="57" t="n">
        <x:v>43.9</x:v>
      </x:c>
      <x:c r="I6" s="57" t="n">
        <x:v>75.8</x:v>
      </x:c>
      <x:c r="J6" s="57"/>
      <x:c r="K6" s="57"/>
      <x:c r="L6" t="str">
        <x:v>2024 QS Global MBA Rankings Results export</x:v>
      </x:c>
    </x:row>
    <x:row r="7">
      <x:c r="A7" t="str">
        <x:v>QS Global MBA</x:v>
      </x:c>
      <x:c r="B7" t="n">
        <x:v>2025</x:v>
      </x:c>
      <x:c r="C7" s="57" t="n">
        <x:v>78</x:v>
      </x:c>
      <x:c r="D7" s="57" t="n">
        <x:v>60.4</x:v>
      </x:c>
      <x:c r="E7" s="57" t="n">
        <x:v>52.4</x:v>
      </x:c>
      <x:c r="F7" s="57" t="n">
        <x:v>40.5</x:v>
      </x:c>
      <x:c r="G7" s="57" t="n">
        <x:v>97.9</x:v>
      </x:c>
      <x:c r="H7" s="57" t="n">
        <x:v>44.9</x:v>
      </x:c>
      <x:c r="I7" s="57" t="n">
        <x:v>67.8</x:v>
      </x:c>
      <x:c r="J7" s="57"/>
      <x:c r="K7" s="57"/>
      <x:c r="L7" t="str">
        <x:v>2025 QS Global MBA and Business Masters Results export</x:v>
      </x:c>
    </x:row>
    <x:row r="8">
      <x:c r="A8" t="str">
        <x:v>QS Global MBA</x:v>
      </x:c>
      <x:c r="B8" t="n">
        <x:v>2026</x:v>
      </x:c>
      <x:c r="C8" s="57" t="n">
        <x:v>84</x:v>
      </x:c>
      <x:c r="D8" s="57" t="n">
        <x:v>59.4</x:v>
      </x:c>
      <x:c r="E8" s="57" t="n">
        <x:v>50.3</x:v>
      </x:c>
      <x:c r="F8" s="57" t="n">
        <x:v>35.1</x:v>
      </x:c>
      <x:c r="G8" s="57" t="n">
        <x:v>99.3</x:v>
      </x:c>
      <x:c r="H8" s="57" t="n">
        <x:v>45.3</x:v>
      </x:c>
      <x:c r="I8" s="57" t="n">
        <x:v>76.9</x:v>
      </x:c>
      <x:c r="J8" s="57"/>
      <x:c r="K8" s="57"/>
      <x:c r="L8" t="str">
        <x:v>2026 QS Global MBA and Business Masters Results export</x:v>
      </x:c>
    </x:row>
    <x:row r="9">
      <x:c r="A9" t="str">
        <x:v>QS Management</x:v>
      </x:c>
      <x:c r="B9" t="n">
        <x:v>2025</x:v>
      </x:c>
      <x:c r="C9" s="57" t="n">
        <x:v>75</x:v>
      </x:c>
      <x:c r="D9" s="57" t="n">
        <x:v>52</x:v>
      </x:c>
      <x:c r="E9" s="57" t="n">
        <x:v>57.7</x:v>
      </x:c>
      <x:c r="F9" s="57"/>
      <x:c r="G9" s="57"/>
      <x:c r="H9" s="57" t="n">
        <x:v>49.6</x:v>
      </x:c>
      <x:c r="I9" s="57" t="n">
        <x:v>67.3</x:v>
      </x:c>
      <x:c r="J9" s="57" t="n">
        <x:v>31.2</x:v>
      </x:c>
      <x:c r="K9" s="57" t="n">
        <x:v>64.7</x:v>
      </x:c>
      <x:c r="L9" t="str">
        <x:v>2025 QS Global MBA and Business Masters Results export</x:v>
      </x:c>
    </x:row>
    <x:row r="10">
      <x:c r="A10" t="str">
        <x:v>QS Management</x:v>
      </x:c>
      <x:c r="B10" t="n">
        <x:v>2026</x:v>
      </x:c>
      <x:c r="C10" s="57" t="n">
        <x:v>100</x:v>
      </x:c>
      <x:c r="D10" s="57" t="n">
        <x:v>51.1</x:v>
      </x:c>
      <x:c r="E10" s="57" t="n">
        <x:v>57.9</x:v>
      </x:c>
      <x:c r="F10" s="57"/>
      <x:c r="G10" s="57"/>
      <x:c r="H10" s="57" t="n">
        <x:v>51.4</x:v>
      </x:c>
      <x:c r="I10" s="57" t="n">
        <x:v>64.2</x:v>
      </x:c>
      <x:c r="J10" s="57" t="n">
        <x:v>30.9</x:v>
      </x:c>
      <x:c r="K10" s="57" t="n">
        <x:v>60.1</x:v>
      </x:c>
      <x:c r="L10" t="str">
        <x:v>2026 QS Global MBA and Business Masters Results export</x:v>
      </x:c>
    </x:row>
    <x:row r="13" ht="30" customHeight="1">
      <x:c r="A13" s="33" t="str">
        <x:v>MBA component</x:v>
      </x:c>
      <x:c r="B13" s="33" t="str">
        <x:v>2026 minus 2025</x:v>
      </x:c>
    </x:row>
    <x:row r="14">
      <x:c r="A14" t="str">
        <x:v>Employability</x:v>
      </x:c>
      <x:c r="B14" s="74" t="n">
        <x:v>-2.1000000000000014</x:v>
      </x:c>
    </x:row>
    <x:row r="15">
      <x:c r="A15" t="str">
        <x:v>E&amp;A Outcomes</x:v>
      </x:c>
      <x:c r="B15" s="74" t="n">
        <x:v>-5.399999999999999</x:v>
      </x:c>
    </x:row>
    <x:row r="16">
      <x:c r="A16" t="str">
        <x:v>ROI</x:v>
      </x:c>
      <x:c r="B16" s="74" t="n">
        <x:v>1.3999999999999915</x:v>
      </x:c>
    </x:row>
    <x:row r="17">
      <x:c r="A17" t="str">
        <x:v>Thought Leadership</x:v>
      </x:c>
      <x:c r="B17" s="74" t="n">
        <x:v>0.3999999999999986</x:v>
      </x:c>
    </x:row>
    <x:row r="18">
      <x:c r="A18" t="str">
        <x:v>Diversity</x:v>
      </x:c>
      <x:c r="B18" s="74" t="n">
        <x:v>9.100000000000009</x:v>
      </x:c>
    </x:row>
    <x:row r="22" ht="30" customHeight="1">
      <x:c r="A22" s="33" t="str">
        <x:v>Management component</x:v>
      </x:c>
      <x:c r="B22" s="33" t="str">
        <x:v>2026 minus 2025</x:v>
      </x:c>
    </x:row>
    <x:row r="23">
      <x:c r="A23" t="str">
        <x:v>Employability</x:v>
      </x:c>
      <x:c r="B23" s="74" t="n">
        <x:v>0.19999999999999574</x:v>
      </x:c>
    </x:row>
    <x:row r="24">
      <x:c r="A24" t="str">
        <x:v>Alumni Outcomes</x:v>
      </x:c>
      <x:c r="B24" s="74" t="n">
        <x:v>-0.3000000000000007</x:v>
      </x:c>
    </x:row>
    <x:row r="25">
      <x:c r="A25" t="str">
        <x:v>Value for Money</x:v>
      </x:c>
      <x:c r="B25" s="74" t="n">
        <x:v>-4.600000000000001</x:v>
      </x:c>
    </x:row>
    <x:row r="26">
      <x:c r="A26" t="str">
        <x:v>Thought Leadership</x:v>
      </x:c>
      <x:c r="B26" s="74" t="n">
        <x:v>1.7999999999999972</x:v>
      </x:c>
    </x:row>
    <x:row r="27">
      <x:c r="A27" t="str">
        <x:v>Diversity</x:v>
      </x:c>
      <x:c r="B27" s="74" t="n">
        <x:v>-3.0999999999999943</x:v>
      </x:c>
    </x:row>
    <x:row r="49" ht="30" customHeight="1">
      <x:c r="A49" s="33" t="str">
        <x:v>Ranking</x:v>
      </x:c>
      <x:c r="B49" s="33" t="str">
        <x:v>Selected German peer</x:v>
      </x:c>
      <x:c r="C49" s="33" t="str">
        <x:v>2025 rank</x:v>
      </x:c>
      <x:c r="D49" s="33" t="str">
        <x:v>2026 rank</x:v>
      </x:c>
      <x:c r="E49" s="33" t="str">
        <x:v>Rank change (+ worse)</x:v>
      </x:c>
    </x:row>
    <x:row r="50">
      <x:c r="A50" t="str">
        <x:v>QS Global MBA</x:v>
      </x:c>
      <x:c r="B50" t="str">
        <x:v>Frankfurt School of Finance &amp; Management</x:v>
      </x:c>
      <x:c r="C50" s="58" t="n">
        <x:v>40</x:v>
      </x:c>
      <x:c r="D50" s="58" t="n">
        <x:v>40</x:v>
      </x:c>
      <x:c r="E50" s="58" t="n">
        <x:v>0</x:v>
      </x:c>
    </x:row>
    <x:row r="51">
      <x:c r="A51" t="str">
        <x:v>QS Global MBA</x:v>
      </x:c>
      <x:c r="B51" t="str">
        <x:v>Mannheim Business School</x:v>
      </x:c>
      <x:c r="C51" s="58" t="n">
        <x:v>47</x:v>
      </x:c>
      <x:c r="D51" s="58" t="n">
        <x:v>46</x:v>
      </x:c>
      <x:c r="E51" s="58" t="n">
        <x:v>-1</x:v>
      </x:c>
    </x:row>
    <x:row r="52">
      <x:c r="A52" t="str">
        <x:v>QS Global MBA</x:v>
      </x:c>
      <x:c r="B52" t="str">
        <x:v>WHU (Otto Beisheim)</x:v>
      </x:c>
      <x:c r="C52" s="58" t="n">
        <x:v>55</x:v>
      </x:c>
      <x:c r="D52" s="58" t="n">
        <x:v>57</x:v>
      </x:c>
      <x:c r="E52" s="58" t="n">
        <x:v>2</x:v>
      </x:c>
    </x:row>
    <x:row r="53">
      <x:c r="A53" t="str">
        <x:v>QS Global MBA</x:v>
      </x:c>
      <x:c r="B53" t="str">
        <x:v>ESMT Berlin</x:v>
      </x:c>
      <x:c r="C53" s="58" t="n">
        <x:v>78</x:v>
      </x:c>
      <x:c r="D53" s="58" t="n">
        <x:v>84</x:v>
      </x:c>
      <x:c r="E53" s="58" t="n">
        <x:v>6</x:v>
      </x:c>
    </x:row>
    <x:row r="54">
      <x:c r="A54" t="str">
        <x:v>QS Management</x:v>
      </x:c>
      <x:c r="B54" t="str">
        <x:v>WHU (Otto Beisheim)</x:v>
      </x:c>
      <x:c r="C54" s="58" t="n">
        <x:v>24</x:v>
      </x:c>
      <x:c r="D54" s="58" t="n">
        <x:v>22</x:v>
      </x:c>
      <x:c r="E54" s="58" t="n">
        <x:v>-2</x:v>
      </x:c>
    </x:row>
    <x:row r="55">
      <x:c r="A55" t="str">
        <x:v>QS Management</x:v>
      </x:c>
      <x:c r="B55" t="str">
        <x:v>Mannheim Business School</x:v>
      </x:c>
      <x:c r="C55" s="58" t="n">
        <x:v>29</x:v>
      </x:c>
      <x:c r="D55" s="58" t="n">
        <x:v>26</x:v>
      </x:c>
      <x:c r="E55" s="58" t="n">
        <x:v>-3</x:v>
      </x:c>
    </x:row>
    <x:row r="56">
      <x:c r="A56" t="str">
        <x:v>QS Management</x:v>
      </x:c>
      <x:c r="B56" t="str">
        <x:v>TUM School of Management</x:v>
      </x:c>
      <x:c r="C56" s="58" t="n">
        <x:v>31</x:v>
      </x:c>
      <x:c r="D56" s="58" t="n">
        <x:v>28</x:v>
      </x:c>
      <x:c r="E56" s="58" t="n">
        <x:v>-3</x:v>
      </x:c>
    </x:row>
    <x:row r="57">
      <x:c r="A57" t="str">
        <x:v>QS Management</x:v>
      </x:c>
      <x:c r="B57" t="str">
        <x:v>Frankfurt School of Finance &amp; Management</x:v>
      </x:c>
      <x:c r="C57" s="58" t="n">
        <x:v>45</x:v>
      </x:c>
      <x:c r="D57" s="58" t="n">
        <x:v>47</x:v>
      </x:c>
      <x:c r="E57" s="58" t="n">
        <x:v>2</x:v>
      </x:c>
    </x:row>
    <x:row r="58">
      <x:c r="A58" t="str">
        <x:v>QS Management</x:v>
      </x:c>
      <x:c r="B58" t="str">
        <x:v>EBS Business School</x:v>
      </x:c>
      <x:c r="C58" s="58" t="n">
        <x:v>58</x:v>
      </x:c>
      <x:c r="D58" s="58" t="n">
        <x:v>64</x:v>
      </x:c>
      <x:c r="E58" s="58" t="n">
        <x:v>6</x:v>
      </x:c>
    </x:row>
    <x:row r="59">
      <x:c r="A59" t="str">
        <x:v>QS Management</x:v>
      </x:c>
      <x:c r="B59" t="str">
        <x:v>ESMT Berlin</x:v>
      </x:c>
      <x:c r="C59" s="58" t="n">
        <x:v>75</x:v>
      </x:c>
      <x:c r="D59" s="58" t="n">
        <x:v>100</x:v>
      </x:c>
      <x:c r="E59" s="58" t="n">
        <x:v>25</x:v>
      </x:c>
    </x:row>
  </x:sheetData>
  <x:mergeCells>
    <x:mergeCell ref="A1:N1"/>
    <x:mergeCell ref="A3:N3"/>
  </x:mergeCells>
  <x:conditionalFormatting sqref="E50:E59">
    <x:cfRule type="colorScale" priority="1">
      <x:colorScale>
        <x:cfvo type="min"/>
        <x:cfvo type="percentile" val="50"/>
        <x:cfvo type="max"/>
        <x:color rgb="FFEAF7F0"/>
        <x:color rgb="FFF3F5F8"/>
        <x:color rgb="FFFDECEC"/>
      </x:colorScale>
    </x:cfRule>
  </x:conditionalFormatting>
  <x:pageMargins left="0.7" right="0.7" top="0.75" bottom="0.75" header="0.3" footer="0.3"/>
  <x:drawing xmlns:r="http://schemas.openxmlformats.org/officeDocument/2006/relationships" r:id="R59c4382c905c4082"/>
  <x:tableParts count="2">
    <x:tablePart xmlns:r="http://schemas.openxmlformats.org/officeDocument/2006/relationships" r:id="R02c4ff3d9baf4966"/>
    <x:tablePart xmlns:r="http://schemas.openxmlformats.org/officeDocument/2006/relationships" r:id="Rd311a7aad46a4cf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62" hidden="0" customWidth="1"/>
    <x:col min="4" max="4" width="62" hidden="0" customWidth="1"/>
    <x:col min="5" max="5" width="28" hidden="0" customWidth="1"/>
    <x:col min="6" max="6" width="15" hidden="0" customWidth="1"/>
    <x:col min="7" max="7" width="15" hidden="0" customWidth="1"/>
    <x:col min="8" max="8" width="55" hidden="0" customWidth="1"/>
  </x:cols>
  <x:sheetData>
    <x:row r="1" ht="34" customHeight="1">
      <x:c r="A1" s="3" t="str">
        <x:v>Communication QA — Verified Public-Claim Mismatches</x:v>
      </x:c>
      <x:c r="B1" s="3" t="str">
        <x:v>Communication QA — Verified Public-Claim Mismatches</x:v>
      </x:c>
      <x:c r="C1" s="3" t="str">
        <x:v>Communication QA — Verified Public-Claim Mismatches</x:v>
      </x:c>
      <x:c r="D1" s="3" t="str">
        <x:v>Communication QA — Verified Public-Claim Mismatches</x:v>
      </x:c>
      <x:c r="E1" s="3" t="str">
        <x:v>Communication QA — Verified Public-Claim Mismatches</x:v>
      </x:c>
      <x:c r="F1" s="3" t="str">
        <x:v>Communication QA — Verified Public-Claim Mismatches</x:v>
      </x:c>
      <x:c r="G1" s="3" t="str">
        <x:v>Communication QA — Verified Public-Claim Mismatches</x:v>
      </x:c>
      <x:c r="H1" s="3" t="str">
        <x:v>Communication QA — Verified Public-Claim Mismatches</x:v>
      </x:c>
    </x:row>
    <x:row r="3">
      <x:c r="A3" s="56" t="str">
        <x:v>These records compare official ESMT pages with publisher results. Closing a record should require a corrected page, validation date, reviewer, and evidence link — not only a status change.</x:v>
      </x:c>
      <x:c r="B3" s="56"/>
      <x:c r="C3" s="56"/>
      <x:c r="D3" s="56"/>
      <x:c r="E3" s="56"/>
      <x:c r="F3" s="56"/>
      <x:c r="G3" s="56"/>
      <x:c r="H3" s="56"/>
    </x:row>
    <x:row r="4">
      <x:c r="A4" s="56"/>
      <x:c r="B4" s="56"/>
      <x:c r="C4" s="56"/>
      <x:c r="D4" s="56"/>
      <x:c r="E4" s="56"/>
      <x:c r="F4" s="56"/>
      <x:c r="G4" s="56"/>
      <x:c r="H4" s="56"/>
    </x:row>
    <x:row r="6" ht="30" customHeight="1">
      <x:c r="A6" s="33" t="str">
        <x:v>Score</x:v>
      </x:c>
      <x:c r="B6" s="33" t="str">
        <x:v>Issue</x:v>
      </x:c>
      <x:c r="C6" s="33" t="str">
        <x:v>Verified mismatch</x:v>
      </x:c>
      <x:c r="D6" s="33" t="str">
        <x:v>Proposed correction</x:v>
      </x:c>
      <x:c r="E6" s="33" t="str">
        <x:v>Owner</x:v>
      </x:c>
      <x:c r="F6" s="33" t="str">
        <x:v>Due</x:v>
      </x:c>
      <x:c r="G6" s="33" t="str">
        <x:v>Status</x:v>
      </x:c>
      <x:c r="H6" s="33" t="str">
        <x:v>Evidence URLs</x:v>
      </x:c>
    </x:row>
    <x:row r="7" ht="66" customHeight="1">
      <x:c r="A7" t="n">
        <x:v>83</x:v>
      </x:c>
      <x:c r="B7" s="65" t="str">
        <x:v>ESMT's central page labels the FT Executive MBA rank 42 with the wrong cycle</x:v>
      </x:c>
      <x:c r="C7" s="65" t="str">
        <x:v>ESMT's central accreditation-and-rankings page labels Executive MBA rank 42 as 2026, while the FT result page identifies rank 42 as the 2025 Executive MBA result published in October 2025.</x:v>
      </x:c>
      <x:c r="D7" s="65" t="str">
        <x:v>Correct the cycle to 2025, verify all displayed ranking years against publisher result pages, and add a two-person approval check for future updates.</x:v>
      </x:c>
      <x:c r="E7" s="65" t="str">
        <x:v>Communications + Ranking Manager</x:v>
      </x:c>
      <x:c r="F7" s="67" t="n">
        <x:v>46255</x:v>
      </x:c>
      <x:c r="G7" s="65" t="str">
        <x:v>New</x:v>
      </x:c>
      <x:c r="H7" s="65" t="str">
        <x:v>https://esmt.berlin/about/accreditation-and-rankings | https://rankings.ft.com/rankings/3005/emba-2025</x:v>
      </x:c>
    </x:row>
    <x:row r="8" ht="66" customHeight="1">
      <x:c r="A8" t="n">
        <x:v>83</x:v>
      </x:c>
      <x:c r="B8" s="65" t="str">
        <x:v>ESMT pages attach different years to the same Full-time MBA rank</x:v>
      </x:c>
      <x:c r="C8" s="65" t="str">
        <x:v>ESMT's degree-ranking page labels Full-time MBA rank 79 as 2026, consistent with the FT MBA 2026 result page. ESMT's central accreditation-and-rankings page labels rank 79 as 2025, while the FT 2025 rank shown on the degree page is 80.</x:v>
      </x:c>
      <x:c r="D8" s="65" t="str">
        <x:v>Correct the year label on the central page and add a single structured ranking-claims register that feeds all public pages.</x:v>
      </x:c>
      <x:c r="E8" s="65" t="str">
        <x:v>Communications + Ranking Manager</x:v>
      </x:c>
      <x:c r="F8" s="67" t="n">
        <x:v>46255</x:v>
      </x:c>
      <x:c r="G8" s="65" t="str">
        <x:v>New</x:v>
      </x:c>
      <x:c r="H8" s="65" t="str">
        <x:v>https://esmt.berlin/degrees/degree-rankings | https://esmt.berlin/about/accreditation-and-rankings | https://rankings.ft.com/rankings/3006/mba-2026</x:v>
      </x:c>
    </x:row>
  </x:sheetData>
  <x:mergeCells>
    <x:mergeCell ref="A1:H1"/>
    <x:mergeCell ref="A3:H4"/>
  </x:mergeCells>
  <x:pageMargins left="0.7" right="0.7" top="0.75" bottom="0.75" header="0.3" footer="0.3"/>
  <x:tableParts count="1">
    <x:tablePart xmlns:r="http://schemas.openxmlformats.org/officeDocument/2006/relationships" r:id="Reb2b7c3e7cd8436d"/>
  </x:tableParts>
</x:worksheet>
</file>